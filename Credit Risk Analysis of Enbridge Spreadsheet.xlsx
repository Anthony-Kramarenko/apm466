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kra\OneDrive\Desktop\"/>
    </mc:Choice>
  </mc:AlternateContent>
  <xr:revisionPtr revIDLastSave="0" documentId="13_ncr:1_{BEB4CE47-85AE-4A9A-AA3B-E2280F6D6548}" xr6:coauthVersionLast="47" xr6:coauthVersionMax="47" xr10:uidLastSave="{00000000-0000-0000-0000-000000000000}"/>
  <bookViews>
    <workbookView xWindow="2910" yWindow="3490" windowWidth="20280" windowHeight="11540" tabRatio="601" activeTab="3" xr2:uid="{24108B4D-5FE2-4E1C-88B3-9269EC5077A7}"/>
  </bookViews>
  <sheets>
    <sheet name="merton " sheetId="5" r:id="rId1"/>
    <sheet name="creadit metric" sheetId="4" r:id="rId2"/>
    <sheet name="relevent data " sheetId="3" r:id="rId3"/>
    <sheet name="plot for prob default" sheetId="6" r:id="rId4"/>
  </sheets>
  <definedNames>
    <definedName name="M">#REF!</definedName>
    <definedName name="MTHREE">#REF!</definedName>
    <definedName name="MTW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E10" i="4"/>
  <c r="E11" i="4"/>
  <c r="E12" i="4"/>
  <c r="E9" i="4"/>
  <c r="G9" i="4" s="1"/>
  <c r="E13" i="4"/>
  <c r="E8" i="4"/>
  <c r="G8" i="4"/>
  <c r="E7" i="4"/>
  <c r="G7" i="4"/>
  <c r="F111" i="5"/>
  <c r="C165" i="5"/>
  <c r="D165" i="5"/>
  <c r="E165" i="5"/>
  <c r="F165" i="5"/>
  <c r="B165" i="5"/>
  <c r="B168" i="5" s="1"/>
  <c r="B178" i="5" s="1"/>
  <c r="C147" i="5"/>
  <c r="D147" i="5"/>
  <c r="E147" i="5"/>
  <c r="F147" i="5"/>
  <c r="B147" i="5"/>
  <c r="B150" i="5" s="1"/>
  <c r="B160" i="5" s="1"/>
  <c r="F129" i="5"/>
  <c r="C129" i="5"/>
  <c r="D129" i="5"/>
  <c r="E129" i="5"/>
  <c r="B129" i="5"/>
  <c r="B132" i="5" s="1"/>
  <c r="F93" i="5"/>
  <c r="C111" i="5"/>
  <c r="D111" i="5"/>
  <c r="E111" i="5"/>
  <c r="B111" i="5"/>
  <c r="B114" i="5" s="1"/>
  <c r="C93" i="5"/>
  <c r="D93" i="5"/>
  <c r="E93" i="5"/>
  <c r="B93" i="5"/>
  <c r="B96" i="5" s="1"/>
  <c r="B106" i="5" s="1"/>
  <c r="C75" i="5"/>
  <c r="D75" i="5"/>
  <c r="E75" i="5"/>
  <c r="B75" i="5"/>
  <c r="B78" i="5" s="1"/>
  <c r="C57" i="5"/>
  <c r="D57" i="5"/>
  <c r="E57" i="5"/>
  <c r="B57" i="5"/>
  <c r="B60" i="5" s="1"/>
  <c r="B70" i="5" s="1"/>
  <c r="C39" i="5"/>
  <c r="D39" i="5"/>
  <c r="E39" i="5"/>
  <c r="B39" i="5"/>
  <c r="B42" i="5" s="1"/>
  <c r="B52" i="5" s="1"/>
  <c r="C21" i="5"/>
  <c r="D21" i="5"/>
  <c r="E21" i="5"/>
  <c r="B21" i="5"/>
  <c r="B24" i="5" s="1"/>
  <c r="B3" i="5"/>
  <c r="C3" i="5" s="1"/>
  <c r="D3" i="5" s="1"/>
  <c r="E3" i="5" s="1"/>
  <c r="B170" i="5"/>
  <c r="C167" i="5"/>
  <c r="D167" i="5" s="1"/>
  <c r="E167" i="5" s="1"/>
  <c r="F167" i="5" s="1"/>
  <c r="C166" i="5"/>
  <c r="B152" i="5"/>
  <c r="C149" i="5"/>
  <c r="D149" i="5" s="1"/>
  <c r="E149" i="5" s="1"/>
  <c r="F149" i="5" s="1"/>
  <c r="C148" i="5"/>
  <c r="B134" i="5"/>
  <c r="C131" i="5"/>
  <c r="D131" i="5" s="1"/>
  <c r="E131" i="5" s="1"/>
  <c r="F131" i="5" s="1"/>
  <c r="C130" i="5"/>
  <c r="B116" i="5"/>
  <c r="C113" i="5"/>
  <c r="D113" i="5" s="1"/>
  <c r="E113" i="5" s="1"/>
  <c r="F113" i="5" s="1"/>
  <c r="C112" i="5"/>
  <c r="B98" i="5"/>
  <c r="C95" i="5"/>
  <c r="D95" i="5" s="1"/>
  <c r="E95" i="5" s="1"/>
  <c r="F95" i="5" s="1"/>
  <c r="C94" i="5"/>
  <c r="B80" i="5"/>
  <c r="C77" i="5"/>
  <c r="D77" i="5" s="1"/>
  <c r="E77" i="5" s="1"/>
  <c r="F77" i="5" s="1"/>
  <c r="C76" i="5"/>
  <c r="B62" i="5"/>
  <c r="C59" i="5"/>
  <c r="D59" i="5" s="1"/>
  <c r="E59" i="5" s="1"/>
  <c r="F59" i="5" s="1"/>
  <c r="C58" i="5"/>
  <c r="B44" i="5"/>
  <c r="C41" i="5"/>
  <c r="D41" i="5" s="1"/>
  <c r="E41" i="5" s="1"/>
  <c r="F41" i="5" s="1"/>
  <c r="C40" i="5"/>
  <c r="B26" i="5"/>
  <c r="C23" i="5"/>
  <c r="D23" i="5" s="1"/>
  <c r="E23" i="5" s="1"/>
  <c r="F23" i="5" s="1"/>
  <c r="C22" i="5"/>
  <c r="O8" i="5"/>
  <c r="B8" i="5"/>
  <c r="C5" i="5"/>
  <c r="D5" i="5" s="1"/>
  <c r="E5" i="5" s="1"/>
  <c r="F5" i="5" s="1"/>
  <c r="C4" i="5"/>
  <c r="D4" i="5" s="1"/>
  <c r="G10" i="4"/>
  <c r="G11" i="4"/>
  <c r="G12" i="4"/>
  <c r="G13" i="4"/>
  <c r="D13" i="4"/>
  <c r="D7" i="4"/>
  <c r="D8" i="4"/>
  <c r="D9" i="4"/>
  <c r="D10" i="4"/>
  <c r="D11" i="4"/>
  <c r="D12" i="4"/>
  <c r="D11" i="3"/>
  <c r="D10" i="3"/>
  <c r="D9" i="3"/>
  <c r="D8" i="3"/>
  <c r="D7" i="3"/>
  <c r="D6" i="3"/>
  <c r="D5" i="3"/>
  <c r="J6" i="3"/>
  <c r="G6" i="3" s="1"/>
  <c r="L7" i="3" s="1"/>
  <c r="J7" i="3"/>
  <c r="G7" i="3" s="1"/>
  <c r="L8" i="3" s="1"/>
  <c r="J8" i="3"/>
  <c r="J9" i="3"/>
  <c r="J10" i="3"/>
  <c r="J5" i="3"/>
  <c r="B6" i="5" l="1"/>
  <c r="B16" i="5" s="1"/>
  <c r="B34" i="5"/>
  <c r="C24" i="5"/>
  <c r="D24" i="5" s="1"/>
  <c r="E24" i="5" s="1"/>
  <c r="F24" i="5" s="1"/>
  <c r="B176" i="5"/>
  <c r="B172" i="5" s="1"/>
  <c r="C168" i="5"/>
  <c r="D168" i="5" s="1"/>
  <c r="E168" i="5" s="1"/>
  <c r="F168" i="5" s="1"/>
  <c r="B142" i="5"/>
  <c r="B140" i="5"/>
  <c r="B136" i="5" s="1"/>
  <c r="C132" i="5"/>
  <c r="D132" i="5" s="1"/>
  <c r="E132" i="5" s="1"/>
  <c r="F132" i="5" s="1"/>
  <c r="C114" i="5"/>
  <c r="D114" i="5" s="1"/>
  <c r="E114" i="5" s="1"/>
  <c r="F114" i="5" s="1"/>
  <c r="B124" i="5"/>
  <c r="B122" i="5"/>
  <c r="B123" i="5" s="1"/>
  <c r="C96" i="5"/>
  <c r="D96" i="5" s="1"/>
  <c r="E96" i="5" s="1"/>
  <c r="F96" i="5" s="1"/>
  <c r="B104" i="5"/>
  <c r="B105" i="5" s="1"/>
  <c r="C78" i="5"/>
  <c r="D78" i="5" s="1"/>
  <c r="E78" i="5" s="1"/>
  <c r="F78" i="5" s="1"/>
  <c r="B86" i="5"/>
  <c r="B82" i="5" s="1"/>
  <c r="B88" i="5"/>
  <c r="C60" i="5"/>
  <c r="D60" i="5" s="1"/>
  <c r="E60" i="5" s="1"/>
  <c r="F60" i="5" s="1"/>
  <c r="B68" i="5"/>
  <c r="B69" i="5" s="1"/>
  <c r="B32" i="5"/>
  <c r="B28" i="5" s="1"/>
  <c r="C150" i="5"/>
  <c r="D150" i="5" s="1"/>
  <c r="E150" i="5" s="1"/>
  <c r="F150" i="5" s="1"/>
  <c r="B158" i="5"/>
  <c r="B159" i="5" s="1"/>
  <c r="B50" i="5"/>
  <c r="B51" i="5" s="1"/>
  <c r="C42" i="5"/>
  <c r="D42" i="5" s="1"/>
  <c r="E42" i="5" s="1"/>
  <c r="F42" i="5" s="1"/>
  <c r="D22" i="5"/>
  <c r="D40" i="5"/>
  <c r="D58" i="5"/>
  <c r="D76" i="5"/>
  <c r="D94" i="5"/>
  <c r="D112" i="5"/>
  <c r="D130" i="5"/>
  <c r="D148" i="5"/>
  <c r="D166" i="5"/>
  <c r="E4" i="5"/>
  <c r="F50" i="4"/>
  <c r="G10" i="3"/>
  <c r="G9" i="3"/>
  <c r="L10" i="3" s="1"/>
  <c r="G8" i="3"/>
  <c r="L9" i="3" s="1"/>
  <c r="G5" i="3"/>
  <c r="E50" i="4" l="1"/>
  <c r="E53" i="4" s="1" a="1"/>
  <c r="I51" i="4" s="1"/>
  <c r="I50" i="4"/>
  <c r="B33" i="5"/>
  <c r="B27" i="5" s="1"/>
  <c r="B29" i="5" s="1"/>
  <c r="C26" i="5" s="1"/>
  <c r="C32" i="5" s="1"/>
  <c r="C34" i="5"/>
  <c r="B14" i="5"/>
  <c r="B15" i="5" s="1"/>
  <c r="B9" i="5" s="1"/>
  <c r="C6" i="5"/>
  <c r="B154" i="5"/>
  <c r="B177" i="5"/>
  <c r="B171" i="5" s="1"/>
  <c r="B173" i="5" s="1"/>
  <c r="C170" i="5" s="1"/>
  <c r="C176" i="5" s="1"/>
  <c r="C177" i="5" s="1"/>
  <c r="C171" i="5" s="1"/>
  <c r="B64" i="5"/>
  <c r="C178" i="5"/>
  <c r="C124" i="5"/>
  <c r="C142" i="5"/>
  <c r="C88" i="5"/>
  <c r="C52" i="5"/>
  <c r="C160" i="5"/>
  <c r="B153" i="5"/>
  <c r="B141" i="5"/>
  <c r="B135" i="5" s="1"/>
  <c r="B137" i="5" s="1"/>
  <c r="C134" i="5" s="1"/>
  <c r="C140" i="5" s="1"/>
  <c r="C136" i="5" s="1"/>
  <c r="B99" i="5"/>
  <c r="B63" i="5"/>
  <c r="B46" i="5"/>
  <c r="B118" i="5"/>
  <c r="B117" i="5"/>
  <c r="B119" i="5" s="1"/>
  <c r="C116" i="5" s="1"/>
  <c r="C122" i="5" s="1"/>
  <c r="C118" i="5" s="1"/>
  <c r="B100" i="5"/>
  <c r="C106" i="5"/>
  <c r="B87" i="5"/>
  <c r="B81" i="5" s="1"/>
  <c r="B83" i="5" s="1"/>
  <c r="C80" i="5" s="1"/>
  <c r="C86" i="5" s="1"/>
  <c r="C82" i="5" s="1"/>
  <c r="C70" i="5"/>
  <c r="B45" i="5"/>
  <c r="D178" i="5"/>
  <c r="E166" i="5"/>
  <c r="D88" i="5"/>
  <c r="E76" i="5"/>
  <c r="D70" i="5"/>
  <c r="E58" i="5"/>
  <c r="D160" i="5"/>
  <c r="E148" i="5"/>
  <c r="D142" i="5"/>
  <c r="E130" i="5"/>
  <c r="D34" i="5"/>
  <c r="E22" i="5"/>
  <c r="D106" i="5"/>
  <c r="E94" i="5"/>
  <c r="D52" i="5"/>
  <c r="E40" i="5"/>
  <c r="F4" i="5"/>
  <c r="D124" i="5"/>
  <c r="E112" i="5"/>
  <c r="F112" i="5" s="1"/>
  <c r="L6" i="3"/>
  <c r="G4" i="3"/>
  <c r="L5" i="3" s="1"/>
  <c r="E53" i="4" l="1"/>
  <c r="E56" i="4" s="1" a="1"/>
  <c r="I52" i="4" s="1"/>
  <c r="C172" i="5"/>
  <c r="C173" i="5" s="1"/>
  <c r="D170" i="5" s="1"/>
  <c r="D176" i="5" s="1"/>
  <c r="B155" i="5"/>
  <c r="C152" i="5" s="1"/>
  <c r="C158" i="5" s="1"/>
  <c r="C159" i="5" s="1"/>
  <c r="C153" i="5" s="1"/>
  <c r="D6" i="5"/>
  <c r="C16" i="5"/>
  <c r="F124" i="5"/>
  <c r="B10" i="5"/>
  <c r="B11" i="5" s="1"/>
  <c r="C8" i="5" s="1"/>
  <c r="C14" i="5" s="1"/>
  <c r="C10" i="5" s="1"/>
  <c r="B65" i="5"/>
  <c r="C62" i="5" s="1"/>
  <c r="C68" i="5" s="1"/>
  <c r="C64" i="5" s="1"/>
  <c r="B47" i="5"/>
  <c r="C44" i="5" s="1"/>
  <c r="C50" i="5" s="1"/>
  <c r="C46" i="5" s="1"/>
  <c r="B101" i="5"/>
  <c r="C98" i="5" s="1"/>
  <c r="C104" i="5" s="1"/>
  <c r="C100" i="5" s="1"/>
  <c r="C141" i="5"/>
  <c r="C135" i="5" s="1"/>
  <c r="C137" i="5" s="1"/>
  <c r="D134" i="5" s="1"/>
  <c r="D140" i="5" s="1"/>
  <c r="C87" i="5"/>
  <c r="C81" i="5" s="1"/>
  <c r="C83" i="5" s="1"/>
  <c r="D80" i="5" s="1"/>
  <c r="D86" i="5" s="1"/>
  <c r="D82" i="5" s="1"/>
  <c r="C33" i="5"/>
  <c r="C27" i="5" s="1"/>
  <c r="C28" i="5"/>
  <c r="C123" i="5"/>
  <c r="C117" i="5" s="1"/>
  <c r="C119" i="5" s="1"/>
  <c r="D116" i="5" s="1"/>
  <c r="D122" i="5" s="1"/>
  <c r="D118" i="5" s="1"/>
  <c r="E34" i="5"/>
  <c r="F22" i="5"/>
  <c r="E88" i="5"/>
  <c r="F76" i="5"/>
  <c r="E142" i="5"/>
  <c r="F130" i="5"/>
  <c r="E178" i="5"/>
  <c r="F166" i="5"/>
  <c r="E160" i="5"/>
  <c r="F148" i="5"/>
  <c r="E70" i="5"/>
  <c r="F58" i="5"/>
  <c r="E52" i="5"/>
  <c r="F40" i="5"/>
  <c r="E106" i="5"/>
  <c r="F94" i="5"/>
  <c r="E124" i="5"/>
  <c r="E56" i="4" l="1"/>
  <c r="E59" i="4" s="1" a="1"/>
  <c r="E59" i="4" s="1"/>
  <c r="E62" i="4" s="1" a="1"/>
  <c r="C154" i="5"/>
  <c r="C155" i="5" s="1"/>
  <c r="D152" i="5" s="1"/>
  <c r="D158" i="5" s="1"/>
  <c r="D159" i="5" s="1"/>
  <c r="D153" i="5" s="1"/>
  <c r="D172" i="5"/>
  <c r="D177" i="5"/>
  <c r="D171" i="5" s="1"/>
  <c r="C15" i="5"/>
  <c r="C9" i="5" s="1"/>
  <c r="C11" i="5" s="1"/>
  <c r="D8" i="5" s="1"/>
  <c r="D14" i="5" s="1"/>
  <c r="D15" i="5" s="1"/>
  <c r="C69" i="5"/>
  <c r="C63" i="5" s="1"/>
  <c r="C65" i="5" s="1"/>
  <c r="D62" i="5" s="1"/>
  <c r="D68" i="5" s="1"/>
  <c r="D69" i="5" s="1"/>
  <c r="E6" i="5"/>
  <c r="D16" i="5"/>
  <c r="C51" i="5"/>
  <c r="C45" i="5" s="1"/>
  <c r="C47" i="5" s="1"/>
  <c r="D44" i="5" s="1"/>
  <c r="D50" i="5" s="1"/>
  <c r="D51" i="5" s="1"/>
  <c r="D45" i="5" s="1"/>
  <c r="C105" i="5"/>
  <c r="C99" i="5" s="1"/>
  <c r="C101" i="5" s="1"/>
  <c r="D98" i="5" s="1"/>
  <c r="D104" i="5" s="1"/>
  <c r="D100" i="5" s="1"/>
  <c r="C29" i="5"/>
  <c r="D26" i="5" s="1"/>
  <c r="D32" i="5" s="1"/>
  <c r="D28" i="5" s="1"/>
  <c r="D141" i="5"/>
  <c r="D135" i="5" s="1"/>
  <c r="D136" i="5"/>
  <c r="D123" i="5"/>
  <c r="D117" i="5" s="1"/>
  <c r="D119" i="5" s="1"/>
  <c r="E116" i="5" s="1"/>
  <c r="E122" i="5" s="1"/>
  <c r="E118" i="5" s="1"/>
  <c r="D87" i="5"/>
  <c r="D81" i="5" s="1"/>
  <c r="D83" i="5" s="1"/>
  <c r="E80" i="5" s="1"/>
  <c r="E86" i="5" s="1"/>
  <c r="F70" i="5"/>
  <c r="F88" i="5"/>
  <c r="F52" i="5"/>
  <c r="F34" i="5"/>
  <c r="F106" i="5"/>
  <c r="F142" i="5"/>
  <c r="F160" i="5"/>
  <c r="F178" i="5"/>
  <c r="I53" i="4" l="1"/>
  <c r="D154" i="5"/>
  <c r="D155" i="5" s="1"/>
  <c r="E152" i="5" s="1"/>
  <c r="E158" i="5" s="1"/>
  <c r="D173" i="5"/>
  <c r="E170" i="5" s="1"/>
  <c r="E176" i="5" s="1"/>
  <c r="E172" i="5" s="1"/>
  <c r="D137" i="5"/>
  <c r="E134" i="5" s="1"/>
  <c r="E140" i="5" s="1"/>
  <c r="E141" i="5" s="1"/>
  <c r="D33" i="5"/>
  <c r="D27" i="5" s="1"/>
  <c r="D29" i="5" s="1"/>
  <c r="E26" i="5" s="1"/>
  <c r="E32" i="5" s="1"/>
  <c r="E28" i="5" s="1"/>
  <c r="D10" i="5"/>
  <c r="D9" i="5"/>
  <c r="D11" i="5" s="1"/>
  <c r="E8" i="5" s="1"/>
  <c r="E14" i="5" s="1"/>
  <c r="D46" i="5"/>
  <c r="D47" i="5" s="1"/>
  <c r="E44" i="5" s="1"/>
  <c r="E50" i="5" s="1"/>
  <c r="E46" i="5" s="1"/>
  <c r="F6" i="5"/>
  <c r="F16" i="5" s="1"/>
  <c r="E16" i="5"/>
  <c r="D105" i="5"/>
  <c r="D99" i="5" s="1"/>
  <c r="D101" i="5" s="1"/>
  <c r="E98" i="5" s="1"/>
  <c r="E104" i="5" s="1"/>
  <c r="E105" i="5" s="1"/>
  <c r="E99" i="5" s="1"/>
  <c r="E123" i="5"/>
  <c r="E117" i="5" s="1"/>
  <c r="E119" i="5" s="1"/>
  <c r="F116" i="5" s="1"/>
  <c r="F122" i="5" s="1"/>
  <c r="E87" i="5"/>
  <c r="E81" i="5" s="1"/>
  <c r="E82" i="5"/>
  <c r="D64" i="5"/>
  <c r="D63" i="5"/>
  <c r="E62" i="4"/>
  <c r="E65" i="4" s="1" a="1"/>
  <c r="I54" i="4"/>
  <c r="E177" i="5" l="1"/>
  <c r="E171" i="5" s="1"/>
  <c r="E173" i="5" s="1"/>
  <c r="F170" i="5" s="1"/>
  <c r="F176" i="5" s="1"/>
  <c r="F177" i="5" s="1"/>
  <c r="F180" i="5" s="1"/>
  <c r="F16" i="6" s="1"/>
  <c r="E154" i="5"/>
  <c r="E159" i="5"/>
  <c r="E153" i="5" s="1"/>
  <c r="E83" i="5"/>
  <c r="F80" i="5" s="1"/>
  <c r="F86" i="5" s="1"/>
  <c r="F82" i="5" s="1"/>
  <c r="E136" i="5"/>
  <c r="E135" i="5"/>
  <c r="E51" i="5"/>
  <c r="E45" i="5" s="1"/>
  <c r="E47" i="5" s="1"/>
  <c r="F44" i="5" s="1"/>
  <c r="F50" i="5" s="1"/>
  <c r="D65" i="5"/>
  <c r="E62" i="5" s="1"/>
  <c r="E68" i="5" s="1"/>
  <c r="E69" i="5" s="1"/>
  <c r="E63" i="5" s="1"/>
  <c r="F123" i="5"/>
  <c r="F126" i="5" s="1"/>
  <c r="F13" i="6" s="1"/>
  <c r="F118" i="5"/>
  <c r="F117" i="5"/>
  <c r="F119" i="5" s="1"/>
  <c r="E100" i="5"/>
  <c r="E101" i="5" s="1"/>
  <c r="F98" i="5" s="1"/>
  <c r="F104" i="5" s="1"/>
  <c r="E33" i="5"/>
  <c r="E27" i="5" s="1"/>
  <c r="E29" i="5" s="1"/>
  <c r="F26" i="5" s="1"/>
  <c r="F32" i="5" s="1"/>
  <c r="E10" i="5"/>
  <c r="E15" i="5"/>
  <c r="E9" i="5" s="1"/>
  <c r="E65" i="4"/>
  <c r="E68" i="4" s="1" a="1"/>
  <c r="I55" i="4"/>
  <c r="F172" i="5" l="1"/>
  <c r="E155" i="5"/>
  <c r="F152" i="5" s="1"/>
  <c r="F158" i="5" s="1"/>
  <c r="F154" i="5" s="1"/>
  <c r="F87" i="5"/>
  <c r="F90" i="5" s="1"/>
  <c r="F11" i="6" s="1"/>
  <c r="E137" i="5"/>
  <c r="F134" i="5" s="1"/>
  <c r="F140" i="5" s="1"/>
  <c r="F51" i="5"/>
  <c r="F54" i="5" s="1"/>
  <c r="F9" i="6" s="1"/>
  <c r="F46" i="5"/>
  <c r="E64" i="5"/>
  <c r="F171" i="5"/>
  <c r="E65" i="5"/>
  <c r="F62" i="5" s="1"/>
  <c r="F68" i="5" s="1"/>
  <c r="F69" i="5" s="1"/>
  <c r="F72" i="5" s="1"/>
  <c r="F10" i="6" s="1"/>
  <c r="F105" i="5"/>
  <c r="F108" i="5" s="1"/>
  <c r="F12" i="6" s="1"/>
  <c r="F100" i="5"/>
  <c r="F28" i="5"/>
  <c r="F33" i="5"/>
  <c r="F36" i="5" s="1"/>
  <c r="F8" i="6" s="1"/>
  <c r="F99" i="5"/>
  <c r="E11" i="5"/>
  <c r="F8" i="5" s="1"/>
  <c r="F14" i="5" s="1"/>
  <c r="F15" i="5" s="1"/>
  <c r="F18" i="5" s="1"/>
  <c r="F64" i="5"/>
  <c r="E68" i="4"/>
  <c r="E72" i="4" s="1" a="1"/>
  <c r="I56" i="4"/>
  <c r="F173" i="5" l="1"/>
  <c r="F81" i="5"/>
  <c r="F83" i="5" s="1"/>
  <c r="F159" i="5"/>
  <c r="F162" i="5" s="1"/>
  <c r="F15" i="6" s="1"/>
  <c r="F153" i="5"/>
  <c r="F155" i="5" s="1"/>
  <c r="F101" i="5"/>
  <c r="F45" i="5"/>
  <c r="F47" i="5" s="1"/>
  <c r="F141" i="5"/>
  <c r="F144" i="5" s="1"/>
  <c r="F14" i="6" s="1"/>
  <c r="F136" i="5"/>
  <c r="F63" i="5"/>
  <c r="F65" i="5" s="1"/>
  <c r="F27" i="5"/>
  <c r="F29" i="5" s="1"/>
  <c r="F10" i="5"/>
  <c r="F7" i="6"/>
  <c r="F9" i="5"/>
  <c r="E72" i="4"/>
  <c r="E75" i="4" s="1" a="1"/>
  <c r="I57" i="4"/>
  <c r="F135" i="5" l="1"/>
  <c r="F137" i="5" s="1"/>
  <c r="F11" i="5"/>
  <c r="E75" i="4"/>
  <c r="E78" i="4" s="1" a="1"/>
  <c r="I58" i="4"/>
  <c r="E78" i="4" l="1"/>
  <c r="I5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<sst xmlns="http://schemas.openxmlformats.org/spreadsheetml/2006/main" count="333" uniqueCount="70">
  <si>
    <t>Merton model</t>
  </si>
  <si>
    <t>Interest rate</t>
  </si>
  <si>
    <t>Book value, bn</t>
  </si>
  <si>
    <t>Time to maturity</t>
  </si>
  <si>
    <t>Exercise price, K=L, bn</t>
  </si>
  <si>
    <t>Sigma s, percent</t>
  </si>
  <si>
    <t>Sigma a, percent</t>
  </si>
  <si>
    <t>Option price, S</t>
  </si>
  <si>
    <t>Option delta</t>
  </si>
  <si>
    <t>Fixed point (sigmas*S)/(V*delta)</t>
  </si>
  <si>
    <t>d1</t>
  </si>
  <si>
    <t>d2</t>
  </si>
  <si>
    <t>BV-L</t>
  </si>
  <si>
    <t>Iteration 1</t>
  </si>
  <si>
    <t>Iteration 2</t>
  </si>
  <si>
    <t>Iteration 3</t>
  </si>
  <si>
    <t>Iteration 4</t>
  </si>
  <si>
    <t>Iteration 5</t>
  </si>
  <si>
    <t>Probability of default=N(-d2)</t>
  </si>
  <si>
    <t>input from Assignment 1 for zero coupon on Jan 5</t>
  </si>
  <si>
    <t>input from the financial statement</t>
  </si>
  <si>
    <t>manual input</t>
  </si>
  <si>
    <t>strike price is equal to the value of debt multiplied by (1+r)^n</t>
  </si>
  <si>
    <t>stock volatility, annual average</t>
  </si>
  <si>
    <t>to start iteration, it is set as equal to sigma s in Iteration 1</t>
  </si>
  <si>
    <t>calculated</t>
  </si>
  <si>
    <t>risk free proxiy</t>
  </si>
  <si>
    <t>book values</t>
  </si>
  <si>
    <t xml:space="preserve">asset </t>
  </si>
  <si>
    <t>value (million)</t>
  </si>
  <si>
    <t>liabilities &amp; equity</t>
  </si>
  <si>
    <t>bond data</t>
  </si>
  <si>
    <t>US29250NBF15</t>
  </si>
  <si>
    <t>US29250NCC74</t>
  </si>
  <si>
    <t>US29250NBX21</t>
  </si>
  <si>
    <t>US29250NBW48</t>
  </si>
  <si>
    <t>US29250NCA19</t>
  </si>
  <si>
    <t>FV</t>
  </si>
  <si>
    <t>Price (31 Dec 2024)</t>
  </si>
  <si>
    <t>US29250NBY04</t>
  </si>
  <si>
    <t>maturity date</t>
  </si>
  <si>
    <t>rate</t>
  </si>
  <si>
    <t>freaquency</t>
  </si>
  <si>
    <t>settelment</t>
  </si>
  <si>
    <t>YIELD(thousands)</t>
  </si>
  <si>
    <t>made up bond at 2035</t>
  </si>
  <si>
    <t>estimate from online</t>
  </si>
  <si>
    <t>cedit spread</t>
  </si>
  <si>
    <t xml:space="preserve">n    </t>
  </si>
  <si>
    <t>solvency</t>
  </si>
  <si>
    <t>default</t>
  </si>
  <si>
    <t>Maturity (31 st of December)</t>
  </si>
  <si>
    <t>Canadian Treasury Yields</t>
  </si>
  <si>
    <t>Years</t>
  </si>
  <si>
    <t>Average Spread:</t>
  </si>
  <si>
    <t xml:space="preserve">Paramerters </t>
  </si>
  <si>
    <t xml:space="preserve">Years to Maturity </t>
  </si>
  <si>
    <t>probability of default (%)</t>
  </si>
  <si>
    <t>Credit Metrics Model (%)</t>
  </si>
  <si>
    <t>Time (Years)</t>
  </si>
  <si>
    <t>Merton Model (%)</t>
  </si>
  <si>
    <t xml:space="preserve">Exercise price, K=L (Bn $ CAD) </t>
  </si>
  <si>
    <t>Sigma a (%)</t>
  </si>
  <si>
    <t>Sigma s (%)</t>
  </si>
  <si>
    <t xml:space="preserve">Book value (Bn $ CAD) </t>
  </si>
  <si>
    <t>Interest rate (%)</t>
  </si>
  <si>
    <t>Maturity Date</t>
  </si>
  <si>
    <t>Enbridge Bond 
Yield in USD (%)</t>
  </si>
  <si>
    <t xml:space="preserve">US Treasury
 (%) </t>
  </si>
  <si>
    <t>Spread 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</si>
</sst>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1" applyNumberFormat="1" applyFont="1" applyFill="1"/>
    <xf numFmtId="3" fontId="0" fillId="0" borderId="0" xfId="0" applyNumberFormat="1"/>
    <xf numFmtId="10" fontId="0" fillId="0" borderId="0" xfId="0" applyNumberFormat="1"/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2" fillId="0" borderId="0" xfId="0" applyNumberFormat="1" applyFont="1"/>
    <xf numFmtId="0" fontId="4" fillId="0" borderId="0" xfId="0" applyFont="1" applyAlignment="1">
      <alignment horizontal="left" vertical="center" wrapText="1"/>
    </xf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7" xfId="0" applyBorder="1"/>
    <xf numFmtId="0" fontId="0" fillId="3" borderId="1" xfId="0" applyFill="1" applyBorder="1"/>
    <xf numFmtId="0" fontId="0" fillId="3" borderId="1" xfId="0" applyFont="1" applyFill="1" applyBorder="1"/>
    <xf numFmtId="0" fontId="0" fillId="0" borderId="7" xfId="0" applyFont="1" applyBorder="1"/>
    <xf numFmtId="14" fontId="0" fillId="3" borderId="10" xfId="0" applyNumberFormat="1" applyFill="1" applyBorder="1"/>
    <xf numFmtId="14" fontId="0" fillId="3" borderId="11" xfId="0" applyNumberFormat="1" applyFill="1" applyBorder="1"/>
    <xf numFmtId="0" fontId="0" fillId="3" borderId="12" xfId="0" applyFill="1" applyBorder="1"/>
    <xf numFmtId="164" fontId="0" fillId="2" borderId="2" xfId="1" applyNumberFormat="1" applyFont="1" applyFill="1" applyBorder="1"/>
    <xf numFmtId="0" fontId="0" fillId="0" borderId="0" xfId="0" applyFill="1" applyBorder="1"/>
    <xf numFmtId="10" fontId="0" fillId="3" borderId="10" xfId="0" applyNumberFormat="1" applyFill="1" applyBorder="1"/>
    <xf numFmtId="10" fontId="0" fillId="3" borderId="11" xfId="0" applyNumberFormat="1" applyFill="1" applyBorder="1"/>
    <xf numFmtId="10" fontId="0" fillId="3" borderId="5" xfId="0" applyNumberFormat="1" applyFill="1" applyBorder="1"/>
    <xf numFmtId="10" fontId="0" fillId="3" borderId="7" xfId="0" applyNumberFormat="1" applyFill="1" applyBorder="1"/>
    <xf numFmtId="10" fontId="0" fillId="3" borderId="3" xfId="0" applyNumberFormat="1" applyFill="1" applyBorder="1"/>
    <xf numFmtId="10" fontId="0" fillId="3" borderId="4" xfId="0" applyNumberFormat="1" applyFill="1" applyBorder="1"/>
    <xf numFmtId="10" fontId="0" fillId="3" borderId="10" xfId="1" applyNumberFormat="1" applyFont="1" applyFill="1" applyBorder="1"/>
    <xf numFmtId="2" fontId="0" fillId="3" borderId="10" xfId="0" applyNumberFormat="1" applyFill="1" applyBorder="1"/>
    <xf numFmtId="10" fontId="0" fillId="3" borderId="12" xfId="0" applyNumberFormat="1" applyFill="1" applyBorder="1"/>
    <xf numFmtId="10" fontId="0" fillId="3" borderId="9" xfId="1" applyNumberFormat="1" applyFont="1" applyFill="1" applyBorder="1"/>
    <xf numFmtId="0" fontId="0" fillId="3" borderId="2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3600"/>
              <a:t>Yield</a:t>
            </a:r>
            <a:r>
              <a:rPr lang="en-CA" sz="3600" baseline="0"/>
              <a:t> Curves</a:t>
            </a:r>
            <a:endParaRPr lang="en-CA" sz="3600"/>
          </a:p>
        </c:rich>
      </c:tx>
      <c:layout>
        <c:manualLayout>
          <c:xMode val="edge"/>
          <c:yMode val="edge"/>
          <c:x val="0.28338470322652276"/>
          <c:y val="2.6070324158582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1463824786296407"/>
          <c:y val="0.15399270027311598"/>
          <c:w val="0.82284757124426744"/>
          <c:h val="0.72405493061896264"/>
        </c:manualLayout>
      </c:layout>
      <c:lineChart>
        <c:grouping val="standard"/>
        <c:varyColors val="0"/>
        <c:ser>
          <c:idx val="0"/>
          <c:order val="0"/>
          <c:tx>
            <c:strRef>
              <c:f>'creadit metric'!$E$6</c:f>
              <c:strCache>
                <c:ptCount val="1"/>
                <c:pt idx="0">
                  <c:v>US Treasury
 (%)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'creadit metric'!$D$7:$D$13</c:f>
              <c:numCache>
                <c:formatCode>m/d/yyyy</c:formatCode>
                <c:ptCount val="7"/>
                <c:pt idx="0">
                  <c:v>46341</c:v>
                </c:pt>
                <c:pt idx="1">
                  <c:v>46482</c:v>
                </c:pt>
                <c:pt idx="2">
                  <c:v>46888</c:v>
                </c:pt>
                <c:pt idx="3">
                  <c:v>47618</c:v>
                </c:pt>
                <c:pt idx="4">
                  <c:v>48792</c:v>
                </c:pt>
                <c:pt idx="5">
                  <c:v>49039</c:v>
                </c:pt>
                <c:pt idx="6">
                  <c:v>49310</c:v>
                </c:pt>
              </c:numCache>
            </c:numRef>
          </c:cat>
          <c:val>
            <c:numRef>
              <c:f>'creadit metric'!$E$7:$E$13</c:f>
              <c:numCache>
                <c:formatCode>0.00%</c:formatCode>
                <c:ptCount val="7"/>
                <c:pt idx="0">
                  <c:v>4.2450000000000002E-2</c:v>
                </c:pt>
                <c:pt idx="1">
                  <c:v>4.2450000000000002E-2</c:v>
                </c:pt>
                <c:pt idx="2">
                  <c:v>4.2535000000000003E-2</c:v>
                </c:pt>
                <c:pt idx="3">
                  <c:v>4.2999999999999997E-2</c:v>
                </c:pt>
                <c:pt idx="4">
                  <c:v>4.4747000000000002E-2</c:v>
                </c:pt>
                <c:pt idx="5">
                  <c:v>4.5485999999999999E-2</c:v>
                </c:pt>
                <c:pt idx="6">
                  <c:v>4.6264E-2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4-491A-B8F7-254CA27218DB}"/>
            </c:ext>
          </c:extLst>
        </c:ser>
        <c:ser>
          <c:idx val="1"/>
          <c:order val="1"/>
          <c:tx>
            <c:strRef>
              <c:f>'creadit metric'!$F$6</c:f>
              <c:strCache>
                <c:ptCount val="1"/>
                <c:pt idx="0">
                  <c:v>Enbridge Bond 
Yield in USD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'creadit metric'!$D$7:$D$13</c:f>
              <c:numCache>
                <c:formatCode>m/d/yyyy</c:formatCode>
                <c:ptCount val="7"/>
                <c:pt idx="0">
                  <c:v>46341</c:v>
                </c:pt>
                <c:pt idx="1">
                  <c:v>46482</c:v>
                </c:pt>
                <c:pt idx="2">
                  <c:v>46888</c:v>
                </c:pt>
                <c:pt idx="3">
                  <c:v>47618</c:v>
                </c:pt>
                <c:pt idx="4">
                  <c:v>48792</c:v>
                </c:pt>
                <c:pt idx="5">
                  <c:v>49039</c:v>
                </c:pt>
                <c:pt idx="6">
                  <c:v>49310</c:v>
                </c:pt>
              </c:numCache>
            </c:numRef>
          </c:cat>
          <c:val>
            <c:numRef>
              <c:f>'creadit metric'!$F$7:$F$13</c:f>
              <c:numCache>
                <c:formatCode>0.00%</c:formatCode>
                <c:ptCount val="7"/>
                <c:pt idx="0">
                  <c:v>4.9216981516415452E-2</c:v>
                </c:pt>
                <c:pt idx="1">
                  <c:v>4.8045306592476036E-2</c:v>
                </c:pt>
                <c:pt idx="2">
                  <c:v>4.9483625686658247E-2</c:v>
                </c:pt>
                <c:pt idx="3">
                  <c:v>5.1243963759533419E-2</c:v>
                </c:pt>
                <c:pt idx="4">
                  <c:v>5.422271896882034E-2</c:v>
                </c:pt>
                <c:pt idx="5">
                  <c:v>5.3150743852704761E-2</c:v>
                </c:pt>
                <c:pt idx="6">
                  <c:v>5.1721443697883993E-2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4-491A-B8F7-254CA2721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47648"/>
        <c:axId val="1396848608"/>
      </c:lineChart>
      <c:dateAx>
        <c:axId val="139684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/>
                  <a:t>Maturity</a:t>
                </a:r>
                <a:r>
                  <a:rPr lang="en-CA" sz="1400" baseline="0"/>
                  <a:t> date</a:t>
                </a:r>
                <a:endParaRPr lang="en-C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48608"/>
        <c:crosses val="autoZero"/>
        <c:auto val="1"/>
        <c:lblOffset val="100"/>
        <c:baseTimeUnit val="years"/>
        <c:majorUnit val="2"/>
        <c:majorTimeUnit val="years"/>
        <c:minorUnit val="1"/>
        <c:minorTimeUnit val="years"/>
      </c:dateAx>
      <c:valAx>
        <c:axId val="13968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aseline="0"/>
                  <a:t>Yield rates</a:t>
                </a:r>
                <a:endParaRPr lang="en-C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862586888627262"/>
          <c:y val="3.9922818625002111E-4"/>
          <c:w val="0.42887083039351337"/>
          <c:h val="0.2376112833150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800"/>
              <a:t>Probabilty</a:t>
            </a:r>
            <a:r>
              <a:rPr lang="en-CA" sz="2800" baseline="0"/>
              <a:t> of Default  Curves</a:t>
            </a:r>
            <a:endParaRPr lang="en-CA" sz="2800"/>
          </a:p>
        </c:rich>
      </c:tx>
      <c:layout>
        <c:manualLayout>
          <c:xMode val="edge"/>
          <c:yMode val="edge"/>
          <c:x val="0.27727480725808373"/>
          <c:y val="1.8024233438028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71350478801512E-2"/>
          <c:y val="0.11240834171932919"/>
          <c:w val="0.9149877359170886"/>
          <c:h val="0.72995385351600084"/>
        </c:manualLayout>
      </c:layout>
      <c:lineChart>
        <c:grouping val="standard"/>
        <c:varyColors val="0"/>
        <c:ser>
          <c:idx val="0"/>
          <c:order val="0"/>
          <c:tx>
            <c:strRef>
              <c:f>'plot for prob default'!$E$6</c:f>
              <c:strCache>
                <c:ptCount val="1"/>
                <c:pt idx="0">
                  <c:v>Credit Metrics Model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'plot for prob default'!$D$7:$D$16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'plot for prob default'!$E$7:$E$16</c:f>
              <c:numCache>
                <c:formatCode>0.00%</c:formatCode>
                <c:ptCount val="10"/>
                <c:pt idx="0">
                  <c:v>1.4278156564524469E-2</c:v>
                </c:pt>
                <c:pt idx="1">
                  <c:v>2.8352447374167866E-2</c:v>
                </c:pt>
                <c:pt idx="2">
                  <c:v>4.2225783256096522E-2</c:v>
                </c:pt>
                <c:pt idx="3">
                  <c:v>5.5901033476230766E-2</c:v>
                </c:pt>
                <c:pt idx="4">
                  <c:v>6.9381026332662882E-2</c:v>
                </c:pt>
                <c:pt idx="5">
                  <c:v>8.2668549740602199E-2</c:v>
                </c:pt>
                <c:pt idx="6">
                  <c:v>9.576635180896817E-2</c:v>
                </c:pt>
                <c:pt idx="7">
                  <c:v>0.10867714140875086</c:v>
                </c:pt>
                <c:pt idx="8">
                  <c:v>0.12140358873325621</c:v>
                </c:pt>
                <c:pt idx="9">
                  <c:v>0.1339483258503521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1-473F-83A3-0A54600098FF}"/>
            </c:ext>
          </c:extLst>
        </c:ser>
        <c:ser>
          <c:idx val="1"/>
          <c:order val="1"/>
          <c:tx>
            <c:strRef>
              <c:f>'plot for prob default'!$F$6</c:f>
              <c:strCache>
                <c:ptCount val="1"/>
                <c:pt idx="0">
                  <c:v>Merton Model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'plot for prob default'!$D$7:$D$16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'plot for prob default'!$F$7:$F$16</c:f>
              <c:numCache>
                <c:formatCode>0.00%</c:formatCode>
                <c:ptCount val="10"/>
                <c:pt idx="0">
                  <c:v>2.8873170506815704E-5</c:v>
                </c:pt>
                <c:pt idx="1">
                  <c:v>2.2953348434517906E-3</c:v>
                </c:pt>
                <c:pt idx="2">
                  <c:v>1.1091872759375621E-2</c:v>
                </c:pt>
                <c:pt idx="3">
                  <c:v>2.667736911594254E-2</c:v>
                </c:pt>
                <c:pt idx="4">
                  <c:v>4.8175414649878401E-2</c:v>
                </c:pt>
                <c:pt idx="5">
                  <c:v>7.8478936799899479E-2</c:v>
                </c:pt>
                <c:pt idx="6">
                  <c:v>0.10661635895499533</c:v>
                </c:pt>
                <c:pt idx="7">
                  <c:v>0.13581402172458423</c:v>
                </c:pt>
                <c:pt idx="8">
                  <c:v>0.1652051210419756</c:v>
                </c:pt>
                <c:pt idx="9">
                  <c:v>0.19415405543091036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1-473F-83A3-0A546000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592144"/>
        <c:axId val="879590704"/>
      </c:lineChart>
      <c:catAx>
        <c:axId val="8795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aseline="0"/>
                  <a:t>Years of  Bond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90704"/>
        <c:crosses val="autoZero"/>
        <c:auto val="1"/>
        <c:lblAlgn val="ctr"/>
        <c:lblOffset val="100"/>
        <c:noMultiLvlLbl val="0"/>
      </c:catAx>
      <c:valAx>
        <c:axId val="87959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aseline="0"/>
                  <a:t>Probability of Default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9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009222154685181"/>
          <c:y val="4.262384984670143E-2"/>
          <c:w val="0.28231733965244171"/>
          <c:h val="5.7817746158055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1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179562</xdr:colOff>
      <xdr:row>30</xdr:row>
      <xdr:rowOff>23561</xdr:rowOff>
    </xdr:from>
    <xdr:to>
      <xdr:col>36</xdr:col>
      <xdr:colOff>162442</xdr:colOff>
      <xdr:row>63</xdr:row>
      <xdr:rowOff>73837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4567DB-864F-B619-8F48-DE2E89BB6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347847</xdr:colOff>
      <xdr:row>23</xdr:row>
      <xdr:rowOff>119717</xdr:rowOff>
    </xdr:from>
    <xdr:to>
      <xdr:col>24</xdr:col>
      <xdr:colOff>494805</xdr:colOff>
      <xdr:row>51</xdr:row>
      <xdr:rowOff>123701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174B7-4ED1-BE40-C401-E8DAC9E0A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133350</xdr:colOff>
      <xdr:row>104</xdr:row>
      <xdr:rowOff>88900</xdr:rowOff>
    </xdr:from>
    <xdr:to>
      <xdr:col>10</xdr:col>
      <xdr:colOff>260350</xdr:colOff>
      <xdr:row>106</xdr:row>
      <xdr:rowOff>134132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26A9CA-F334-67F6-3F28-5F82E05B5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987" t="94043" r="34303" b="1"/>
        <a:stretch/>
      </xdr:blipFill>
      <xdr:spPr>
        <a:xfrm>
          <a:off x="5194300" y="16598900"/>
          <a:ext cx="2565400" cy="36273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2B18-168D-4524-9F93-A955170BCE5E}">
  <dimension ref="A1:O196"/>
  <sheetViews>
    <sheetView topLeftCell="A169" zoomScale="115" workbookViewId="0">
      <selection activeCell="L204" sqref="L204"/>
    </sheetView>
  </sheetViews>
  <sheetFormatPr defaultRowHeight="12.5" x14ac:dyDescent="0.25"/>
  <cols>
    <col min="1" max="1" width="26.36328125" customWidth="1"/>
    <col min="2" max="2" width="7.6328125" customWidth="1"/>
    <col min="3" max="3" width="7.36328125" customWidth="1"/>
    <col min="4" max="4" width="7.26953125" customWidth="1"/>
    <col min="5" max="5" width="9" customWidth="1"/>
    <col min="6" max="6" width="8.26953125" customWidth="1"/>
    <col min="7" max="7" width="7.81640625" customWidth="1"/>
    <col min="8" max="8" width="8" customWidth="1"/>
    <col min="9" max="9" width="8.1796875" customWidth="1"/>
    <col min="10" max="10" width="8" customWidth="1"/>
    <col min="11" max="11" width="7.54296875" customWidth="1"/>
    <col min="14" max="14" width="27.36328125" customWidth="1"/>
    <col min="15" max="15" width="28.90625" customWidth="1"/>
    <col min="16" max="16" width="24" customWidth="1"/>
  </cols>
  <sheetData>
    <row r="1" spans="1:15" ht="13" x14ac:dyDescent="0.3">
      <c r="A1" s="1" t="s">
        <v>0</v>
      </c>
    </row>
    <row r="2" spans="1:15" x14ac:dyDescent="0.25">
      <c r="A2" s="29"/>
      <c r="B2" s="20" t="s">
        <v>13</v>
      </c>
      <c r="C2" s="20" t="s">
        <v>14</v>
      </c>
      <c r="D2" s="20" t="s">
        <v>15</v>
      </c>
      <c r="E2" s="20" t="s">
        <v>16</v>
      </c>
      <c r="F2" s="20" t="s">
        <v>17</v>
      </c>
      <c r="G2" s="14"/>
    </row>
    <row r="3" spans="1:15" x14ac:dyDescent="0.25">
      <c r="A3" s="21" t="s">
        <v>1</v>
      </c>
      <c r="B3" s="21">
        <f>O11</f>
        <v>2.9699099999999999E-2</v>
      </c>
      <c r="C3" s="21">
        <f>B3</f>
        <v>2.9699099999999999E-2</v>
      </c>
      <c r="D3" s="21">
        <f t="shared" ref="D3:E3" si="0">C3</f>
        <v>2.9699099999999999E-2</v>
      </c>
      <c r="E3" s="21">
        <f t="shared" si="0"/>
        <v>2.9699099999999999E-2</v>
      </c>
      <c r="F3" s="21">
        <v>3.14247E-2</v>
      </c>
      <c r="G3" s="15" t="s">
        <v>19</v>
      </c>
    </row>
    <row r="4" spans="1:15" x14ac:dyDescent="0.25">
      <c r="A4" s="21" t="s">
        <v>2</v>
      </c>
      <c r="B4" s="21">
        <v>218.97300000000001</v>
      </c>
      <c r="C4" s="21">
        <f>B4</f>
        <v>218.97300000000001</v>
      </c>
      <c r="D4" s="21">
        <f>C4</f>
        <v>218.97300000000001</v>
      </c>
      <c r="E4" s="21">
        <f>D4</f>
        <v>218.97300000000001</v>
      </c>
      <c r="F4" s="21">
        <f>E4</f>
        <v>218.97300000000001</v>
      </c>
      <c r="G4" s="15" t="s">
        <v>20</v>
      </c>
      <c r="N4" t="s">
        <v>1</v>
      </c>
      <c r="O4">
        <v>3.14247E-2</v>
      </c>
    </row>
    <row r="5" spans="1:15" x14ac:dyDescent="0.25">
      <c r="A5" s="21" t="s">
        <v>3</v>
      </c>
      <c r="B5" s="21">
        <v>1</v>
      </c>
      <c r="C5" s="21">
        <f>B5</f>
        <v>1</v>
      </c>
      <c r="D5" s="21">
        <f t="shared" ref="D5:F5" si="1">C5</f>
        <v>1</v>
      </c>
      <c r="E5" s="21">
        <f t="shared" si="1"/>
        <v>1</v>
      </c>
      <c r="F5" s="21">
        <f t="shared" si="1"/>
        <v>1</v>
      </c>
      <c r="G5" s="15" t="s">
        <v>21</v>
      </c>
      <c r="N5" t="s">
        <v>2</v>
      </c>
      <c r="O5">
        <v>218.97300000000001</v>
      </c>
    </row>
    <row r="6" spans="1:15" x14ac:dyDescent="0.25">
      <c r="A6" s="21" t="s">
        <v>4</v>
      </c>
      <c r="B6" s="21">
        <f>150*(1+B3)^B5</f>
        <v>154.45486499999998</v>
      </c>
      <c r="C6" s="21">
        <f>B6</f>
        <v>154.45486499999998</v>
      </c>
      <c r="D6" s="21">
        <f>C6</f>
        <v>154.45486499999998</v>
      </c>
      <c r="E6" s="21">
        <f>D6</f>
        <v>154.45486499999998</v>
      </c>
      <c r="F6" s="21">
        <f>E6</f>
        <v>154.45486499999998</v>
      </c>
      <c r="G6" s="15" t="s">
        <v>22</v>
      </c>
      <c r="N6" t="s">
        <v>3</v>
      </c>
    </row>
    <row r="7" spans="1:15" x14ac:dyDescent="0.25">
      <c r="A7" s="21" t="s">
        <v>5</v>
      </c>
      <c r="B7" s="21">
        <v>0.29659999999999997</v>
      </c>
      <c r="C7" s="21">
        <v>0.29660000000000003</v>
      </c>
      <c r="D7" s="21">
        <v>0.29660000000000003</v>
      </c>
      <c r="E7" s="21">
        <v>0.29660000000000003</v>
      </c>
      <c r="F7" s="21">
        <v>0.29660000000000003</v>
      </c>
      <c r="G7" s="15" t="s">
        <v>23</v>
      </c>
      <c r="N7" t="s">
        <v>4</v>
      </c>
      <c r="O7">
        <v>150</v>
      </c>
    </row>
    <row r="8" spans="1:15" x14ac:dyDescent="0.25">
      <c r="A8" s="21" t="s">
        <v>6</v>
      </c>
      <c r="B8" s="21">
        <f>B7</f>
        <v>0.29659999999999997</v>
      </c>
      <c r="C8" s="21">
        <f>B11</f>
        <v>0.10505976976290236</v>
      </c>
      <c r="D8" s="21">
        <f>C11</f>
        <v>9.3525008596879053E-2</v>
      </c>
      <c r="E8" s="21">
        <f>D11</f>
        <v>9.3514208779559446E-2</v>
      </c>
      <c r="F8" s="21">
        <f>E11</f>
        <v>9.3514204577670443E-2</v>
      </c>
      <c r="G8" s="15" t="s">
        <v>24</v>
      </c>
      <c r="N8" t="s">
        <v>5</v>
      </c>
      <c r="O8">
        <f>29.66*0.01</f>
        <v>0.29660000000000003</v>
      </c>
    </row>
    <row r="9" spans="1:15" x14ac:dyDescent="0.25">
      <c r="A9" s="21" t="s">
        <v>7</v>
      </c>
      <c r="B9" s="21">
        <f>B4*NORMSDIST(B14)-B6*EXP(-B3*B5)*NORMSDIST(B15)</f>
        <v>71.587648491203311</v>
      </c>
      <c r="C9" s="21">
        <f t="shared" ref="C9:F9" si="2">C4*NORMSDIST(C14)-C6*EXP(-C3*C5)*NORMSDIST(C15)</f>
        <v>69.038585913414664</v>
      </c>
      <c r="D9" s="21">
        <f t="shared" si="2"/>
        <v>69.037954378800521</v>
      </c>
      <c r="E9" s="21">
        <f t="shared" si="2"/>
        <v>69.037954164804063</v>
      </c>
      <c r="F9" s="21">
        <f t="shared" si="2"/>
        <v>69.296451380764211</v>
      </c>
      <c r="G9" s="15" t="s">
        <v>25</v>
      </c>
    </row>
    <row r="10" spans="1:15" x14ac:dyDescent="0.25">
      <c r="A10" s="21" t="s">
        <v>8</v>
      </c>
      <c r="B10" s="21">
        <f>NORMSDIST(B14)</f>
        <v>0.92295862060060307</v>
      </c>
      <c r="C10" s="21">
        <f t="shared" ref="C10:F10" si="3">NORMSDIST(C14)</f>
        <v>0.99987269553878466</v>
      </c>
      <c r="D10" s="21">
        <f t="shared" si="3"/>
        <v>0.99997902190201138</v>
      </c>
      <c r="E10" s="21">
        <f t="shared" si="3"/>
        <v>0.99997906373460366</v>
      </c>
      <c r="F10" s="21">
        <f t="shared" si="3"/>
        <v>0.9999806703723777</v>
      </c>
      <c r="G10" s="15" t="s">
        <v>25</v>
      </c>
      <c r="N10" t="s">
        <v>51</v>
      </c>
      <c r="O10" t="s">
        <v>52</v>
      </c>
    </row>
    <row r="11" spans="1:15" x14ac:dyDescent="0.25">
      <c r="A11" s="21" t="s">
        <v>9</v>
      </c>
      <c r="B11" s="21">
        <f>(B7*B9)/(B4*B10)</f>
        <v>0.10505976976290236</v>
      </c>
      <c r="C11" s="21">
        <f t="shared" ref="C11:F11" si="4">(C7*C9)/(C4*C10)</f>
        <v>9.3525008596879053E-2</v>
      </c>
      <c r="D11" s="21">
        <f t="shared" si="4"/>
        <v>9.3514208779559446E-2</v>
      </c>
      <c r="E11" s="21">
        <f t="shared" si="4"/>
        <v>9.3514204577670443E-2</v>
      </c>
      <c r="F11" s="21">
        <f t="shared" si="4"/>
        <v>9.386419684335888E-2</v>
      </c>
      <c r="G11" s="15" t="s">
        <v>25</v>
      </c>
      <c r="N11">
        <v>2026</v>
      </c>
      <c r="O11">
        <v>2.9699099999999999E-2</v>
      </c>
    </row>
    <row r="12" spans="1:15" x14ac:dyDescent="0.25">
      <c r="A12" s="21"/>
      <c r="B12" s="21"/>
      <c r="C12" s="21"/>
      <c r="D12" s="21"/>
      <c r="E12" s="21"/>
      <c r="F12" s="21"/>
      <c r="G12" s="15"/>
      <c r="N12">
        <v>2027</v>
      </c>
      <c r="O12">
        <v>2.8649600000000001E-2</v>
      </c>
    </row>
    <row r="13" spans="1:15" x14ac:dyDescent="0.25">
      <c r="A13" s="21"/>
      <c r="B13" s="21"/>
      <c r="C13" s="21"/>
      <c r="D13" s="21"/>
      <c r="E13" s="21"/>
      <c r="F13" s="21"/>
      <c r="G13" s="15"/>
      <c r="N13">
        <v>2028</v>
      </c>
      <c r="O13">
        <v>2.8529700000000002E-2</v>
      </c>
    </row>
    <row r="14" spans="1:15" x14ac:dyDescent="0.25">
      <c r="A14" s="21" t="s">
        <v>10</v>
      </c>
      <c r="B14" s="21">
        <f>(LN(B4/B6)+(B3+0.5*B8^2)*B5)/(B8*SQRT(B5))</f>
        <v>1.4252575752166534</v>
      </c>
      <c r="C14" s="21">
        <f t="shared" ref="C14:F14" si="5">(LN(C4/C6)+(C3+0.5*C8^2)*C5)/(C8*SQRT(C5))</f>
        <v>3.6575788742710902</v>
      </c>
      <c r="D14" s="21">
        <f t="shared" si="5"/>
        <v>4.0964345919190572</v>
      </c>
      <c r="E14" s="21">
        <f t="shared" si="5"/>
        <v>4.0968968826353978</v>
      </c>
      <c r="F14" s="21">
        <f t="shared" si="5"/>
        <v>4.1153498741307857</v>
      </c>
      <c r="G14" s="15"/>
      <c r="N14">
        <v>2029</v>
      </c>
      <c r="O14">
        <v>2.89418E-2</v>
      </c>
    </row>
    <row r="15" spans="1:15" x14ac:dyDescent="0.25">
      <c r="A15" s="21" t="s">
        <v>11</v>
      </c>
      <c r="B15" s="21">
        <f>B14-B8*SQRT(B5)</f>
        <v>1.1286575752166534</v>
      </c>
      <c r="C15" s="21">
        <f t="shared" ref="C15:F15" si="6">C14-C8*SQRT(C5)</f>
        <v>3.5525191045081876</v>
      </c>
      <c r="D15" s="21">
        <f t="shared" si="6"/>
        <v>4.0029095833221779</v>
      </c>
      <c r="E15" s="21">
        <f t="shared" si="6"/>
        <v>4.003382673855838</v>
      </c>
      <c r="F15" s="21">
        <f t="shared" si="6"/>
        <v>4.0218356695531154</v>
      </c>
      <c r="G15" s="15"/>
      <c r="N15">
        <v>2030</v>
      </c>
      <c r="O15">
        <v>2.95897E-2</v>
      </c>
    </row>
    <row r="16" spans="1:15" x14ac:dyDescent="0.25">
      <c r="A16" s="21" t="s">
        <v>12</v>
      </c>
      <c r="B16" s="21">
        <f>B4-B6</f>
        <v>64.518135000000029</v>
      </c>
      <c r="C16" s="21">
        <f t="shared" ref="C16:F16" si="7">C4-C6</f>
        <v>64.518135000000029</v>
      </c>
      <c r="D16" s="21">
        <f t="shared" si="7"/>
        <v>64.518135000000029</v>
      </c>
      <c r="E16" s="21">
        <f t="shared" si="7"/>
        <v>64.518135000000029</v>
      </c>
      <c r="F16" s="21">
        <f t="shared" si="7"/>
        <v>64.518135000000029</v>
      </c>
      <c r="G16" s="15"/>
      <c r="N16">
        <v>2031</v>
      </c>
      <c r="O16">
        <v>3.0293799999999999E-2</v>
      </c>
    </row>
    <row r="17" spans="1:15" x14ac:dyDescent="0.25">
      <c r="A17" s="21"/>
      <c r="B17" s="21"/>
      <c r="C17" s="21"/>
      <c r="D17" s="21"/>
      <c r="E17" s="21"/>
      <c r="F17" s="21"/>
      <c r="G17" s="15"/>
      <c r="N17">
        <v>2032</v>
      </c>
      <c r="O17">
        <v>3.0953700000000001E-2</v>
      </c>
    </row>
    <row r="18" spans="1:15" x14ac:dyDescent="0.25">
      <c r="A18" s="22" t="s">
        <v>18</v>
      </c>
      <c r="B18" s="22"/>
      <c r="C18" s="22"/>
      <c r="D18" s="22"/>
      <c r="E18" s="22"/>
      <c r="F18" s="30">
        <f>1-NORMSDIST(F15)</f>
        <v>2.8873170506815704E-5</v>
      </c>
      <c r="G18" s="17"/>
      <c r="N18">
        <v>2033</v>
      </c>
      <c r="O18">
        <v>3.1520600000000003E-2</v>
      </c>
    </row>
    <row r="19" spans="1:15" x14ac:dyDescent="0.25">
      <c r="N19">
        <v>2034</v>
      </c>
      <c r="O19">
        <v>3.1978199999999998E-2</v>
      </c>
    </row>
    <row r="20" spans="1:15" x14ac:dyDescent="0.25">
      <c r="A20" s="12"/>
      <c r="B20" s="12" t="s">
        <v>13</v>
      </c>
      <c r="C20" s="12" t="s">
        <v>14</v>
      </c>
      <c r="D20" s="12" t="s">
        <v>15</v>
      </c>
      <c r="E20" s="12" t="s">
        <v>16</v>
      </c>
      <c r="F20" s="12" t="s">
        <v>17</v>
      </c>
      <c r="G20" s="12"/>
      <c r="N20">
        <v>2035</v>
      </c>
      <c r="O20">
        <v>3.2329400000000001E-2</v>
      </c>
    </row>
    <row r="21" spans="1:15" x14ac:dyDescent="0.25">
      <c r="A21" s="12" t="s">
        <v>1</v>
      </c>
      <c r="B21" s="12">
        <f>$O$12</f>
        <v>2.8649600000000001E-2</v>
      </c>
      <c r="C21" s="12">
        <f t="shared" ref="C21:E21" si="8">$O$12</f>
        <v>2.8649600000000001E-2</v>
      </c>
      <c r="D21" s="12">
        <f t="shared" si="8"/>
        <v>2.8649600000000001E-2</v>
      </c>
      <c r="E21" s="12">
        <f t="shared" si="8"/>
        <v>2.8649600000000001E-2</v>
      </c>
      <c r="F21" s="12">
        <v>3.14247E-2</v>
      </c>
      <c r="G21" s="12" t="s">
        <v>19</v>
      </c>
    </row>
    <row r="22" spans="1:15" x14ac:dyDescent="0.25">
      <c r="A22" s="12" t="s">
        <v>2</v>
      </c>
      <c r="B22" s="12">
        <v>218.97300000000001</v>
      </c>
      <c r="C22" s="12">
        <f>B22</f>
        <v>218.97300000000001</v>
      </c>
      <c r="D22" s="12">
        <f>C22</f>
        <v>218.97300000000001</v>
      </c>
      <c r="E22" s="12">
        <f>D22</f>
        <v>218.97300000000001</v>
      </c>
      <c r="F22" s="12">
        <f>E22</f>
        <v>218.97300000000001</v>
      </c>
      <c r="G22" s="12" t="s">
        <v>20</v>
      </c>
    </row>
    <row r="23" spans="1:15" x14ac:dyDescent="0.25">
      <c r="A23" s="12" t="s">
        <v>3</v>
      </c>
      <c r="B23" s="12">
        <v>2</v>
      </c>
      <c r="C23" s="12">
        <f>B23</f>
        <v>2</v>
      </c>
      <c r="D23" s="12">
        <f t="shared" ref="D23:F23" si="9">C23</f>
        <v>2</v>
      </c>
      <c r="E23" s="12">
        <f t="shared" si="9"/>
        <v>2</v>
      </c>
      <c r="F23" s="12">
        <f t="shared" si="9"/>
        <v>2</v>
      </c>
      <c r="G23" s="12" t="s">
        <v>21</v>
      </c>
    </row>
    <row r="24" spans="1:15" x14ac:dyDescent="0.25">
      <c r="A24" s="12" t="s">
        <v>4</v>
      </c>
      <c r="B24" s="12">
        <f>150*(1+B21)^B23</f>
        <v>158.71799993702399</v>
      </c>
      <c r="C24" s="12">
        <f>B24</f>
        <v>158.71799993702399</v>
      </c>
      <c r="D24" s="12">
        <f>C24</f>
        <v>158.71799993702399</v>
      </c>
      <c r="E24" s="12">
        <f>D24</f>
        <v>158.71799993702399</v>
      </c>
      <c r="F24" s="12">
        <f>E24</f>
        <v>158.71799993702399</v>
      </c>
      <c r="G24" s="12" t="s">
        <v>22</v>
      </c>
    </row>
    <row r="25" spans="1:15" x14ac:dyDescent="0.25">
      <c r="A25" s="12" t="s">
        <v>5</v>
      </c>
      <c r="B25" s="12">
        <v>0.29660000000000003</v>
      </c>
      <c r="C25" s="12">
        <v>0.29660000000000003</v>
      </c>
      <c r="D25" s="12">
        <v>0.29660000000000003</v>
      </c>
      <c r="E25" s="12">
        <v>0.29660000000000003</v>
      </c>
      <c r="F25" s="12">
        <v>0.29660000000000003</v>
      </c>
      <c r="G25" s="12" t="s">
        <v>23</v>
      </c>
    </row>
    <row r="26" spans="1:15" x14ac:dyDescent="0.25">
      <c r="A26" s="12" t="s">
        <v>6</v>
      </c>
      <c r="B26" s="12">
        <f>B25</f>
        <v>0.29660000000000003</v>
      </c>
      <c r="C26" s="12">
        <f>B29</f>
        <v>0.11958839977715742</v>
      </c>
      <c r="D26" s="12">
        <f>C29</f>
        <v>9.4714787329628125E-2</v>
      </c>
      <c r="E26" s="12">
        <f>D29</f>
        <v>9.3786868314583938E-2</v>
      </c>
      <c r="F26" s="12">
        <f>E29</f>
        <v>9.3769804313161745E-2</v>
      </c>
      <c r="G26" s="12" t="s">
        <v>24</v>
      </c>
    </row>
    <row r="27" spans="1:15" x14ac:dyDescent="0.25">
      <c r="A27" s="12" t="s">
        <v>7</v>
      </c>
      <c r="B27" s="12">
        <f>B22*NORMSDIST(B32)-B24*EXP(-B21*B23)*NORMSDIST(B33)</f>
        <v>76.570425174259512</v>
      </c>
      <c r="C27" s="12">
        <f t="shared" ref="C27:F27" si="10">C22*NORMSDIST(C32)-C24*EXP(-C21*C23)*NORMSDIST(C33)</f>
        <v>69.226282112313328</v>
      </c>
      <c r="D27" s="12">
        <f t="shared" si="10"/>
        <v>69.110409160451667</v>
      </c>
      <c r="E27" s="12">
        <f t="shared" si="10"/>
        <v>69.108751932290517</v>
      </c>
      <c r="F27" s="12">
        <f t="shared" si="10"/>
        <v>69.936244161048847</v>
      </c>
      <c r="G27" s="12" t="s">
        <v>25</v>
      </c>
    </row>
    <row r="28" spans="1:15" x14ac:dyDescent="0.25">
      <c r="A28" s="12" t="s">
        <v>8</v>
      </c>
      <c r="B28" s="12">
        <f>NORMSDIST(B32)</f>
        <v>0.86726652228524514</v>
      </c>
      <c r="C28" s="12">
        <f t="shared" ref="C28:F28" si="11">NORMSDIST(C32)</f>
        <v>0.9899968158042759</v>
      </c>
      <c r="D28" s="12">
        <f t="shared" si="11"/>
        <v>0.99811827676793319</v>
      </c>
      <c r="E28" s="12">
        <f t="shared" si="11"/>
        <v>0.99827597324761563</v>
      </c>
      <c r="F28" s="12">
        <f t="shared" si="11"/>
        <v>0.99849662121144112</v>
      </c>
      <c r="G28" s="12" t="s">
        <v>25</v>
      </c>
    </row>
    <row r="29" spans="1:15" x14ac:dyDescent="0.25">
      <c r="A29" s="12" t="s">
        <v>9</v>
      </c>
      <c r="B29" s="12">
        <f>(B25*B27)/(B22*B28)</f>
        <v>0.11958839977715742</v>
      </c>
      <c r="C29" s="12">
        <f t="shared" ref="C29:F29" si="12">(C25*C27)/(C22*C28)</f>
        <v>9.4714787329628125E-2</v>
      </c>
      <c r="D29" s="12">
        <f t="shared" si="12"/>
        <v>9.3786868314583938E-2</v>
      </c>
      <c r="E29" s="12">
        <f t="shared" si="12"/>
        <v>9.3769804313161745E-2</v>
      </c>
      <c r="F29" s="12">
        <f t="shared" si="12"/>
        <v>9.4871612905457134E-2</v>
      </c>
      <c r="G29" s="12" t="s">
        <v>25</v>
      </c>
    </row>
    <row r="30" spans="1:15" x14ac:dyDescent="0.25">
      <c r="A30" s="12"/>
      <c r="B30" s="12"/>
      <c r="C30" s="12"/>
      <c r="D30" s="12"/>
      <c r="E30" s="12"/>
      <c r="F30" s="12"/>
      <c r="G30" s="12"/>
    </row>
    <row r="31" spans="1:15" x14ac:dyDescent="0.25">
      <c r="A31" s="12"/>
      <c r="B31" s="12"/>
      <c r="C31" s="12"/>
      <c r="D31" s="12"/>
      <c r="E31" s="12"/>
      <c r="F31" s="12"/>
      <c r="G31" s="12"/>
    </row>
    <row r="32" spans="1:15" x14ac:dyDescent="0.25">
      <c r="A32" s="12" t="s">
        <v>10</v>
      </c>
      <c r="B32" s="12">
        <f>(LN(B22/B24)+(B21+0.5*B26^2)*B23)/(B26*SQRT(B23))</f>
        <v>1.113562421140478</v>
      </c>
      <c r="C32" s="12">
        <f t="shared" ref="C32:F32" si="13">(LN(C22/C24)+(C21+0.5*C26^2)*C23)/(C26*SQRT(C23))</f>
        <v>2.3262284182278479</v>
      </c>
      <c r="D32" s="12">
        <f t="shared" si="13"/>
        <v>2.8973375017339316</v>
      </c>
      <c r="E32" s="12">
        <f t="shared" si="13"/>
        <v>2.924684736374084</v>
      </c>
      <c r="F32" s="12">
        <f t="shared" si="13"/>
        <v>2.9670462176460894</v>
      </c>
      <c r="G32" s="12"/>
    </row>
    <row r="33" spans="1:7" x14ac:dyDescent="0.25">
      <c r="A33" s="12" t="s">
        <v>11</v>
      </c>
      <c r="B33" s="12">
        <f>B32-B26*SQRT(B23)</f>
        <v>0.69410667854061792</v>
      </c>
      <c r="C33" s="12">
        <f t="shared" ref="C33:F33" si="14">C32-C26*SQRT(C23)</f>
        <v>2.1571048813604961</v>
      </c>
      <c r="D33" s="12">
        <f t="shared" si="14"/>
        <v>2.7633905649350883</v>
      </c>
      <c r="E33" s="12">
        <f t="shared" si="14"/>
        <v>2.7920500752310997</v>
      </c>
      <c r="F33" s="12">
        <f t="shared" si="14"/>
        <v>2.8344356886453448</v>
      </c>
      <c r="G33" s="12"/>
    </row>
    <row r="34" spans="1:7" x14ac:dyDescent="0.25">
      <c r="A34" s="12" t="s">
        <v>12</v>
      </c>
      <c r="B34" s="12">
        <f>B22-B24</f>
        <v>60.255000062976023</v>
      </c>
      <c r="C34" s="12">
        <f t="shared" ref="C34:F34" si="15">C22-C24</f>
        <v>60.255000062976023</v>
      </c>
      <c r="D34" s="12">
        <f t="shared" si="15"/>
        <v>60.255000062976023</v>
      </c>
      <c r="E34" s="12">
        <f t="shared" si="15"/>
        <v>60.255000062976023</v>
      </c>
      <c r="F34" s="12">
        <f t="shared" si="15"/>
        <v>60.255000062976023</v>
      </c>
      <c r="G34" s="12"/>
    </row>
    <row r="35" spans="1:7" x14ac:dyDescent="0.25">
      <c r="A35" s="12"/>
      <c r="B35" s="12"/>
      <c r="C35" s="12"/>
      <c r="D35" s="12"/>
      <c r="E35" s="12"/>
      <c r="F35" s="12"/>
      <c r="G35" s="12"/>
    </row>
    <row r="36" spans="1:7" x14ac:dyDescent="0.25">
      <c r="A36" s="12" t="s">
        <v>18</v>
      </c>
      <c r="B36" s="12"/>
      <c r="C36" s="12"/>
      <c r="D36" s="12"/>
      <c r="E36" s="12"/>
      <c r="F36" s="3">
        <f>1-NORMSDIST(F33)</f>
        <v>2.2953348434517906E-3</v>
      </c>
      <c r="G36" s="12"/>
    </row>
    <row r="38" spans="1:7" x14ac:dyDescent="0.25">
      <c r="A38" s="12"/>
      <c r="B38" s="12" t="s">
        <v>13</v>
      </c>
      <c r="C38" s="12" t="s">
        <v>14</v>
      </c>
      <c r="D38" s="12" t="s">
        <v>15</v>
      </c>
      <c r="E38" s="12" t="s">
        <v>16</v>
      </c>
      <c r="F38" s="12" t="s">
        <v>17</v>
      </c>
      <c r="G38" s="12"/>
    </row>
    <row r="39" spans="1:7" x14ac:dyDescent="0.25">
      <c r="A39" s="12" t="s">
        <v>1</v>
      </c>
      <c r="B39" s="12">
        <f>$O$13</f>
        <v>2.8529700000000002E-2</v>
      </c>
      <c r="C39" s="12">
        <f t="shared" ref="C39:E39" si="16">$O$13</f>
        <v>2.8529700000000002E-2</v>
      </c>
      <c r="D39" s="12">
        <f t="shared" si="16"/>
        <v>2.8529700000000002E-2</v>
      </c>
      <c r="E39" s="12">
        <f t="shared" si="16"/>
        <v>2.8529700000000002E-2</v>
      </c>
      <c r="F39" s="12">
        <v>3.14247E-2</v>
      </c>
      <c r="G39" s="12" t="s">
        <v>19</v>
      </c>
    </row>
    <row r="40" spans="1:7" x14ac:dyDescent="0.25">
      <c r="A40" s="12" t="s">
        <v>2</v>
      </c>
      <c r="B40" s="12">
        <v>218.97300000000001</v>
      </c>
      <c r="C40" s="12">
        <f>B40</f>
        <v>218.97300000000001</v>
      </c>
      <c r="D40" s="12">
        <f>C40</f>
        <v>218.97300000000001</v>
      </c>
      <c r="E40" s="12">
        <f>D40</f>
        <v>218.97300000000001</v>
      </c>
      <c r="F40" s="12">
        <f>E40</f>
        <v>218.97300000000001</v>
      </c>
      <c r="G40" s="12" t="s">
        <v>20</v>
      </c>
    </row>
    <row r="41" spans="1:7" x14ac:dyDescent="0.25">
      <c r="A41" s="12" t="s">
        <v>3</v>
      </c>
      <c r="B41" s="12">
        <v>3</v>
      </c>
      <c r="C41" s="12">
        <f>B41</f>
        <v>3</v>
      </c>
      <c r="D41" s="12">
        <f t="shared" ref="D41:F41" si="17">C41</f>
        <v>3</v>
      </c>
      <c r="E41" s="12">
        <f t="shared" si="17"/>
        <v>3</v>
      </c>
      <c r="F41" s="12">
        <f t="shared" si="17"/>
        <v>3</v>
      </c>
      <c r="G41" s="12" t="s">
        <v>21</v>
      </c>
    </row>
    <row r="42" spans="1:7" x14ac:dyDescent="0.25">
      <c r="A42" s="12" t="s">
        <v>4</v>
      </c>
      <c r="B42" s="12">
        <f>150*(1+B39)^B41</f>
        <v>163.20812293772846</v>
      </c>
      <c r="C42" s="12">
        <f>B42</f>
        <v>163.20812293772846</v>
      </c>
      <c r="D42" s="12">
        <f>C42</f>
        <v>163.20812293772846</v>
      </c>
      <c r="E42" s="12">
        <f>D42</f>
        <v>163.20812293772846</v>
      </c>
      <c r="F42" s="12">
        <f>E42</f>
        <v>163.20812293772846</v>
      </c>
      <c r="G42" s="12" t="s">
        <v>22</v>
      </c>
    </row>
    <row r="43" spans="1:7" x14ac:dyDescent="0.25">
      <c r="A43" s="12" t="s">
        <v>5</v>
      </c>
      <c r="B43" s="12">
        <v>0.29660000000000003</v>
      </c>
      <c r="C43" s="12">
        <v>0.29660000000000003</v>
      </c>
      <c r="D43" s="12">
        <v>0.29660000000000003</v>
      </c>
      <c r="E43" s="12">
        <v>0.29660000000000003</v>
      </c>
      <c r="F43" s="12">
        <v>0.29660000000000003</v>
      </c>
      <c r="G43" s="12" t="s">
        <v>23</v>
      </c>
    </row>
    <row r="44" spans="1:7" x14ac:dyDescent="0.25">
      <c r="A44" s="12" t="s">
        <v>6</v>
      </c>
      <c r="B44" s="12">
        <f>B43</f>
        <v>0.29660000000000003</v>
      </c>
      <c r="C44" s="12">
        <f>B47</f>
        <v>0.13115531885187545</v>
      </c>
      <c r="D44" s="12">
        <f>C47</f>
        <v>9.8417437754834192E-2</v>
      </c>
      <c r="E44" s="12">
        <f>D47</f>
        <v>9.4842992659447914E-2</v>
      </c>
      <c r="F44" s="12">
        <f>E47</f>
        <v>9.4602150497699655E-2</v>
      </c>
      <c r="G44" s="12" t="s">
        <v>24</v>
      </c>
    </row>
    <row r="45" spans="1:7" x14ac:dyDescent="0.25">
      <c r="A45" s="12" t="s">
        <v>7</v>
      </c>
      <c r="B45" s="12">
        <f>B40*NORMSDIST(B50)-B42*EXP(-B39*B41)*NORMSDIST(B51)</f>
        <v>81.363358212516246</v>
      </c>
      <c r="C45" s="12">
        <f t="shared" ref="C45:F45" si="18">C40*NORMSDIST(C50)-C42*EXP(-C39*C41)*NORMSDIST(C51)</f>
        <v>69.956772187414742</v>
      </c>
      <c r="D45" s="12">
        <f t="shared" si="18"/>
        <v>69.2921618920046</v>
      </c>
      <c r="E45" s="12">
        <f t="shared" si="18"/>
        <v>69.258049252697646</v>
      </c>
      <c r="F45" s="12">
        <f t="shared" si="18"/>
        <v>70.536121223247619</v>
      </c>
      <c r="G45" s="12" t="s">
        <v>25</v>
      </c>
    </row>
    <row r="46" spans="1:7" x14ac:dyDescent="0.25">
      <c r="A46" s="12" t="s">
        <v>8</v>
      </c>
      <c r="B46" s="12">
        <f>NORMSDIST(B50)</f>
        <v>0.84027905081321252</v>
      </c>
      <c r="C46" s="12">
        <f t="shared" ref="C46:F46" si="19">NORMSDIST(C50)</f>
        <v>0.96280488914157536</v>
      </c>
      <c r="D46" s="12">
        <f t="shared" si="19"/>
        <v>0.98959943922143356</v>
      </c>
      <c r="E46" s="12">
        <f t="shared" si="19"/>
        <v>0.99163038175637175</v>
      </c>
      <c r="F46" s="12">
        <f t="shared" si="19"/>
        <v>0.99287824297615002</v>
      </c>
      <c r="G46" s="12" t="s">
        <v>25</v>
      </c>
    </row>
    <row r="47" spans="1:7" x14ac:dyDescent="0.25">
      <c r="A47" s="12" t="s">
        <v>9</v>
      </c>
      <c r="B47" s="12">
        <f>(B43*B45)/(B40*B46)</f>
        <v>0.13115531885187545</v>
      </c>
      <c r="C47" s="12">
        <f t="shared" ref="C47:F47" si="20">(C43*C45)/(C40*C46)</f>
        <v>9.8417437754834192E-2</v>
      </c>
      <c r="D47" s="12">
        <f t="shared" si="20"/>
        <v>9.4842992659447914E-2</v>
      </c>
      <c r="E47" s="12">
        <f t="shared" si="20"/>
        <v>9.4602150497699655E-2</v>
      </c>
      <c r="F47" s="12">
        <f t="shared" si="20"/>
        <v>9.6226825420928044E-2</v>
      </c>
      <c r="G47" s="12" t="s">
        <v>25</v>
      </c>
    </row>
    <row r="48" spans="1:7" x14ac:dyDescent="0.25">
      <c r="A48" s="12"/>
      <c r="B48" s="12"/>
      <c r="C48" s="12"/>
      <c r="D48" s="12"/>
      <c r="E48" s="12"/>
      <c r="F48" s="12"/>
      <c r="G48" s="12"/>
    </row>
    <row r="49" spans="1:7" x14ac:dyDescent="0.25">
      <c r="A49" s="12"/>
      <c r="B49" s="12"/>
      <c r="C49" s="12"/>
      <c r="D49" s="12"/>
      <c r="E49" s="12"/>
      <c r="F49" s="12"/>
      <c r="G49" s="12"/>
    </row>
    <row r="50" spans="1:7" x14ac:dyDescent="0.25">
      <c r="A50" s="12" t="s">
        <v>10</v>
      </c>
      <c r="B50" s="12">
        <f>(LN(B40/B42)+(B39+0.5*B44^2)*B41)/(B44*SQRT(B41))</f>
        <v>0.99560542392269868</v>
      </c>
      <c r="C50" s="12">
        <f t="shared" ref="C50:F50" si="21">(LN(C40/C42)+(C39+0.5*C44^2)*C41)/(C44*SQRT(C41))</f>
        <v>1.7842058522553284</v>
      </c>
      <c r="D50" s="12">
        <f t="shared" si="21"/>
        <v>2.3115748929723123</v>
      </c>
      <c r="E50" s="12">
        <f t="shared" si="21"/>
        <v>2.3923857996744542</v>
      </c>
      <c r="F50" s="12">
        <f t="shared" si="21"/>
        <v>2.4510626989222106</v>
      </c>
      <c r="G50" s="12"/>
    </row>
    <row r="51" spans="1:7" x14ac:dyDescent="0.25">
      <c r="A51" s="12" t="s">
        <v>11</v>
      </c>
      <c r="B51" s="12">
        <f>B50-B44*SQRT(B41)</f>
        <v>0.48187915439776963</v>
      </c>
      <c r="C51" s="12">
        <f t="shared" ref="C51:F51" si="22">C50-C44*SQRT(C41)</f>
        <v>1.557038176320984</v>
      </c>
      <c r="D51" s="12">
        <f t="shared" si="22"/>
        <v>2.1411108904301921</v>
      </c>
      <c r="E51" s="12">
        <f t="shared" si="22"/>
        <v>2.2281129176464085</v>
      </c>
      <c r="F51" s="12">
        <f t="shared" si="22"/>
        <v>2.2872069677549174</v>
      </c>
      <c r="G51" s="12"/>
    </row>
    <row r="52" spans="1:7" x14ac:dyDescent="0.25">
      <c r="A52" s="12" t="s">
        <v>12</v>
      </c>
      <c r="B52" s="12">
        <f>B40-B42</f>
        <v>55.764877062271552</v>
      </c>
      <c r="C52" s="12">
        <f t="shared" ref="C52:F52" si="23">C40-C42</f>
        <v>55.764877062271552</v>
      </c>
      <c r="D52" s="12">
        <f t="shared" si="23"/>
        <v>55.764877062271552</v>
      </c>
      <c r="E52" s="12">
        <f t="shared" si="23"/>
        <v>55.764877062271552</v>
      </c>
      <c r="F52" s="12">
        <f t="shared" si="23"/>
        <v>55.764877062271552</v>
      </c>
      <c r="G52" s="12"/>
    </row>
    <row r="53" spans="1:7" x14ac:dyDescent="0.25">
      <c r="A53" s="12"/>
      <c r="B53" s="12"/>
      <c r="C53" s="12"/>
      <c r="D53" s="12"/>
      <c r="E53" s="12"/>
      <c r="F53" s="12"/>
      <c r="G53" s="12"/>
    </row>
    <row r="54" spans="1:7" x14ac:dyDescent="0.25">
      <c r="A54" s="12" t="s">
        <v>18</v>
      </c>
      <c r="B54" s="12"/>
      <c r="C54" s="12"/>
      <c r="D54" s="12"/>
      <c r="E54" s="12"/>
      <c r="F54" s="3">
        <f>1-NORMSDIST(F51)</f>
        <v>1.1091872759375621E-2</v>
      </c>
      <c r="G54" s="12"/>
    </row>
    <row r="56" spans="1:7" x14ac:dyDescent="0.25">
      <c r="A56" s="12"/>
      <c r="B56" s="12" t="s">
        <v>13</v>
      </c>
      <c r="C56" s="12" t="s">
        <v>14</v>
      </c>
      <c r="D56" s="12" t="s">
        <v>15</v>
      </c>
      <c r="E56" s="12" t="s">
        <v>16</v>
      </c>
      <c r="F56" s="12" t="s">
        <v>17</v>
      </c>
      <c r="G56" s="12"/>
    </row>
    <row r="57" spans="1:7" x14ac:dyDescent="0.25">
      <c r="A57" s="12" t="s">
        <v>1</v>
      </c>
      <c r="B57" s="12">
        <f>$O$14</f>
        <v>2.89418E-2</v>
      </c>
      <c r="C57" s="12">
        <f t="shared" ref="C57:E57" si="24">$O$14</f>
        <v>2.89418E-2</v>
      </c>
      <c r="D57" s="12">
        <f t="shared" si="24"/>
        <v>2.89418E-2</v>
      </c>
      <c r="E57" s="12">
        <f t="shared" si="24"/>
        <v>2.89418E-2</v>
      </c>
      <c r="F57" s="12">
        <v>3.14247E-2</v>
      </c>
      <c r="G57" s="12" t="s">
        <v>19</v>
      </c>
    </row>
    <row r="58" spans="1:7" x14ac:dyDescent="0.25">
      <c r="A58" s="12" t="s">
        <v>2</v>
      </c>
      <c r="B58" s="12">
        <v>218.97300000000001</v>
      </c>
      <c r="C58" s="12">
        <f>B58</f>
        <v>218.97300000000001</v>
      </c>
      <c r="D58" s="12">
        <f>C58</f>
        <v>218.97300000000001</v>
      </c>
      <c r="E58" s="12">
        <f>D58</f>
        <v>218.97300000000001</v>
      </c>
      <c r="F58" s="12">
        <f>E58</f>
        <v>218.97300000000001</v>
      </c>
      <c r="G58" s="12" t="s">
        <v>20</v>
      </c>
    </row>
    <row r="59" spans="1:7" x14ac:dyDescent="0.25">
      <c r="A59" s="12" t="s">
        <v>3</v>
      </c>
      <c r="B59" s="12">
        <v>4</v>
      </c>
      <c r="C59" s="12">
        <f>B59</f>
        <v>4</v>
      </c>
      <c r="D59" s="12">
        <f t="shared" ref="D59:F59" si="25">C59</f>
        <v>4</v>
      </c>
      <c r="E59" s="12">
        <f t="shared" si="25"/>
        <v>4</v>
      </c>
      <c r="F59" s="12">
        <f t="shared" si="25"/>
        <v>4</v>
      </c>
      <c r="G59" s="12" t="s">
        <v>21</v>
      </c>
    </row>
    <row r="60" spans="1:7" x14ac:dyDescent="0.25">
      <c r="A60" s="12" t="s">
        <v>4</v>
      </c>
      <c r="B60" s="12">
        <f>150*(1+ B57)^B59</f>
        <v>168.13359572509808</v>
      </c>
      <c r="C60" s="12">
        <f>B60</f>
        <v>168.13359572509808</v>
      </c>
      <c r="D60" s="12">
        <f>C60</f>
        <v>168.13359572509808</v>
      </c>
      <c r="E60" s="12">
        <f>D60</f>
        <v>168.13359572509808</v>
      </c>
      <c r="F60" s="12">
        <f>E60</f>
        <v>168.13359572509808</v>
      </c>
      <c r="G60" s="12" t="s">
        <v>22</v>
      </c>
    </row>
    <row r="61" spans="1:7" x14ac:dyDescent="0.25">
      <c r="A61" s="12" t="s">
        <v>5</v>
      </c>
      <c r="B61" s="12">
        <v>0.29660000000000003</v>
      </c>
      <c r="C61" s="12">
        <v>0.29660000000000003</v>
      </c>
      <c r="D61" s="12">
        <v>0.29660000000000003</v>
      </c>
      <c r="E61" s="12">
        <v>0.29660000000000003</v>
      </c>
      <c r="F61" s="12">
        <v>0.29660000000000003</v>
      </c>
      <c r="G61" s="12" t="s">
        <v>23</v>
      </c>
    </row>
    <row r="62" spans="1:7" x14ac:dyDescent="0.25">
      <c r="A62" s="12" t="s">
        <v>6</v>
      </c>
      <c r="B62" s="12">
        <f>B61</f>
        <v>0.29660000000000003</v>
      </c>
      <c r="C62" s="12">
        <f>B65</f>
        <v>0.14070761296163001</v>
      </c>
      <c r="D62" s="12">
        <f>C65</f>
        <v>0.1036053616417501</v>
      </c>
      <c r="E62" s="12">
        <f>D65</f>
        <v>9.697739069113423E-2</v>
      </c>
      <c r="F62" s="12">
        <f>E65</f>
        <v>9.6118856962039881E-2</v>
      </c>
      <c r="G62" s="12" t="s">
        <v>24</v>
      </c>
    </row>
    <row r="63" spans="1:7" x14ac:dyDescent="0.25">
      <c r="A63" s="12" t="s">
        <v>7</v>
      </c>
      <c r="B63" s="12">
        <f>B58*NORMSDIST(B68)-B60*EXP(-B57*B59)*NORMSDIST(B69)</f>
        <v>85.769702176923772</v>
      </c>
      <c r="C63" s="12">
        <f t="shared" ref="C63:F63" si="26">C58*NORMSDIST(C68)-C60*EXP(-C57*C59)*NORMSDIST(C69)</f>
        <v>71.288371403434724</v>
      </c>
      <c r="D63" s="12">
        <f t="shared" si="26"/>
        <v>69.709226718237773</v>
      </c>
      <c r="E63" s="12">
        <f t="shared" si="26"/>
        <v>69.550735457690024</v>
      </c>
      <c r="F63" s="12">
        <f t="shared" si="26"/>
        <v>70.970928458486469</v>
      </c>
      <c r="G63" s="12" t="s">
        <v>25</v>
      </c>
    </row>
    <row r="64" spans="1:7" x14ac:dyDescent="0.25">
      <c r="A64" s="12" t="s">
        <v>8</v>
      </c>
      <c r="B64" s="12">
        <f>NORMSDIST(B68)</f>
        <v>0.82565171030923279</v>
      </c>
      <c r="C64" s="12">
        <f t="shared" ref="C64:F64" si="27">NORMSDIST(C68)</f>
        <v>0.93200242121677823</v>
      </c>
      <c r="D64" s="12">
        <f t="shared" si="27"/>
        <v>0.97364435179074527</v>
      </c>
      <c r="E64" s="12">
        <f t="shared" si="27"/>
        <v>0.98010748865933206</v>
      </c>
      <c r="F64" s="12">
        <f t="shared" si="27"/>
        <v>0.98317647862621949</v>
      </c>
      <c r="G64" s="12" t="s">
        <v>25</v>
      </c>
    </row>
    <row r="65" spans="1:7" x14ac:dyDescent="0.25">
      <c r="A65" s="12" t="s">
        <v>9</v>
      </c>
      <c r="B65" s="12">
        <f>(B61*B63)/(B58*B64)</f>
        <v>0.14070761296163001</v>
      </c>
      <c r="C65" s="12">
        <f t="shared" ref="C65:F65" si="28">(C61*C63)/(C58*C64)</f>
        <v>0.1036053616417501</v>
      </c>
      <c r="D65" s="12">
        <f t="shared" si="28"/>
        <v>9.697739069113423E-2</v>
      </c>
      <c r="E65" s="12">
        <f t="shared" si="28"/>
        <v>9.6118856962039881E-2</v>
      </c>
      <c r="F65" s="12">
        <f t="shared" si="28"/>
        <v>9.7775396349186264E-2</v>
      </c>
      <c r="G65" s="12" t="s">
        <v>25</v>
      </c>
    </row>
    <row r="66" spans="1:7" x14ac:dyDescent="0.25">
      <c r="A66" s="12"/>
      <c r="B66" s="12"/>
      <c r="C66" s="12"/>
      <c r="D66" s="12"/>
      <c r="E66" s="12"/>
      <c r="F66" s="12"/>
      <c r="G66" s="12"/>
    </row>
    <row r="67" spans="1:7" x14ac:dyDescent="0.25">
      <c r="A67" s="12"/>
      <c r="B67" s="12"/>
      <c r="C67" s="12"/>
      <c r="D67" s="12"/>
      <c r="E67" s="12"/>
      <c r="F67" s="12"/>
      <c r="G67" s="12"/>
    </row>
    <row r="68" spans="1:7" x14ac:dyDescent="0.25">
      <c r="A68" s="12" t="s">
        <v>10</v>
      </c>
      <c r="B68" s="12">
        <f>(LN(B58/B60)+(B57+0.5*B62^2)*B59)/(B62*SQRT(B59))</f>
        <v>0.93712049647020179</v>
      </c>
      <c r="C68" s="12">
        <f t="shared" ref="C68:F68" si="29">(LN(C58/C60)+(C57+0.5*C62^2)*C59)/(C62*SQRT(C59))</f>
        <v>1.4908717956549125</v>
      </c>
      <c r="D68" s="12">
        <f t="shared" si="29"/>
        <v>1.9372786025110318</v>
      </c>
      <c r="E68" s="12">
        <f t="shared" si="29"/>
        <v>2.0559739970045467</v>
      </c>
      <c r="F68" s="12">
        <f t="shared" si="29"/>
        <v>2.1242763425431574</v>
      </c>
      <c r="G68" s="12"/>
    </row>
    <row r="69" spans="1:7" x14ac:dyDescent="0.25">
      <c r="A69" s="12" t="s">
        <v>11</v>
      </c>
      <c r="B69" s="12">
        <f>B68-B62*SQRT(B59)</f>
        <v>0.34392049647020173</v>
      </c>
      <c r="C69" s="12">
        <f t="shared" ref="C69:F69" si="30">C68-C62*SQRT(C59)</f>
        <v>1.2094565697316524</v>
      </c>
      <c r="D69" s="12">
        <f t="shared" si="30"/>
        <v>1.7300678792275317</v>
      </c>
      <c r="E69" s="12">
        <f t="shared" si="30"/>
        <v>1.8620192156222783</v>
      </c>
      <c r="F69" s="12">
        <f t="shared" si="30"/>
        <v>1.9320386286190776</v>
      </c>
      <c r="G69" s="12"/>
    </row>
    <row r="70" spans="1:7" x14ac:dyDescent="0.25">
      <c r="A70" s="12" t="s">
        <v>12</v>
      </c>
      <c r="B70" s="12">
        <f>B58-B60</f>
        <v>50.839404274901938</v>
      </c>
      <c r="C70" s="12">
        <f t="shared" ref="C70:F70" si="31">C58-C60</f>
        <v>50.839404274901938</v>
      </c>
      <c r="D70" s="12">
        <f t="shared" si="31"/>
        <v>50.839404274901938</v>
      </c>
      <c r="E70" s="12">
        <f t="shared" si="31"/>
        <v>50.839404274901938</v>
      </c>
      <c r="F70" s="12">
        <f t="shared" si="31"/>
        <v>50.839404274901938</v>
      </c>
      <c r="G70" s="12"/>
    </row>
    <row r="71" spans="1:7" x14ac:dyDescent="0.25">
      <c r="A71" s="12"/>
      <c r="B71" s="12"/>
      <c r="C71" s="12"/>
      <c r="D71" s="12"/>
      <c r="E71" s="12"/>
      <c r="F71" s="12"/>
      <c r="G71" s="12"/>
    </row>
    <row r="72" spans="1:7" x14ac:dyDescent="0.25">
      <c r="A72" s="12" t="s">
        <v>18</v>
      </c>
      <c r="B72" s="12"/>
      <c r="C72" s="12"/>
      <c r="D72" s="12"/>
      <c r="E72" s="12"/>
      <c r="F72" s="3">
        <f>1-NORMSDIST(F69)</f>
        <v>2.667736911594254E-2</v>
      </c>
      <c r="G72" s="12"/>
    </row>
    <row r="74" spans="1:7" x14ac:dyDescent="0.25">
      <c r="A74" s="12"/>
      <c r="B74" s="12" t="s">
        <v>13</v>
      </c>
      <c r="C74" s="12" t="s">
        <v>14</v>
      </c>
      <c r="D74" s="12" t="s">
        <v>15</v>
      </c>
      <c r="E74" s="12" t="s">
        <v>16</v>
      </c>
      <c r="F74" s="12" t="s">
        <v>17</v>
      </c>
      <c r="G74" s="12"/>
    </row>
    <row r="75" spans="1:7" x14ac:dyDescent="0.25">
      <c r="A75" s="12" t="s">
        <v>1</v>
      </c>
      <c r="B75" s="12">
        <f>$O$15</f>
        <v>2.95897E-2</v>
      </c>
      <c r="C75" s="12">
        <f t="shared" ref="C75:E75" si="32">$O$15</f>
        <v>2.95897E-2</v>
      </c>
      <c r="D75" s="12">
        <f t="shared" si="32"/>
        <v>2.95897E-2</v>
      </c>
      <c r="E75" s="12">
        <f t="shared" si="32"/>
        <v>2.95897E-2</v>
      </c>
      <c r="F75" s="12">
        <v>3.14247E-2</v>
      </c>
      <c r="G75" s="12" t="s">
        <v>19</v>
      </c>
    </row>
    <row r="76" spans="1:7" x14ac:dyDescent="0.25">
      <c r="A76" s="12" t="s">
        <v>2</v>
      </c>
      <c r="B76" s="12">
        <v>218.97300000000001</v>
      </c>
      <c r="C76" s="12">
        <f>B76</f>
        <v>218.97300000000001</v>
      </c>
      <c r="D76" s="12">
        <f>C76</f>
        <v>218.97300000000001</v>
      </c>
      <c r="E76" s="12">
        <f>D76</f>
        <v>218.97300000000001</v>
      </c>
      <c r="F76" s="12">
        <f>E76</f>
        <v>218.97300000000001</v>
      </c>
      <c r="G76" s="12" t="s">
        <v>20</v>
      </c>
    </row>
    <row r="77" spans="1:7" x14ac:dyDescent="0.25">
      <c r="A77" s="12" t="s">
        <v>3</v>
      </c>
      <c r="B77" s="12">
        <v>5</v>
      </c>
      <c r="C77" s="12">
        <f>B77</f>
        <v>5</v>
      </c>
      <c r="D77" s="12">
        <f t="shared" ref="D77:F77" si="33">C77</f>
        <v>5</v>
      </c>
      <c r="E77" s="12">
        <f t="shared" si="33"/>
        <v>5</v>
      </c>
      <c r="F77" s="12">
        <f t="shared" si="33"/>
        <v>5</v>
      </c>
      <c r="G77" s="12" t="s">
        <v>21</v>
      </c>
    </row>
    <row r="78" spans="1:7" x14ac:dyDescent="0.25">
      <c r="A78" s="12" t="s">
        <v>4</v>
      </c>
      <c r="B78" s="12">
        <f>150*(1+B75)^B77</f>
        <v>173.54503977102314</v>
      </c>
      <c r="C78" s="12">
        <f>B78</f>
        <v>173.54503977102314</v>
      </c>
      <c r="D78" s="12">
        <f>C78</f>
        <v>173.54503977102314</v>
      </c>
      <c r="E78" s="12">
        <f>D78</f>
        <v>173.54503977102314</v>
      </c>
      <c r="F78" s="12">
        <f>E78</f>
        <v>173.54503977102314</v>
      </c>
      <c r="G78" s="12" t="s">
        <v>22</v>
      </c>
    </row>
    <row r="79" spans="1:7" x14ac:dyDescent="0.25">
      <c r="A79" s="12" t="s">
        <v>5</v>
      </c>
      <c r="B79" s="12">
        <v>0.29660000000000003</v>
      </c>
      <c r="C79" s="12">
        <v>0.29660000000000003</v>
      </c>
      <c r="D79" s="12">
        <v>0.29660000000000003</v>
      </c>
      <c r="E79" s="12">
        <v>0.29660000000000003</v>
      </c>
      <c r="F79" s="12">
        <v>0.29660000000000003</v>
      </c>
      <c r="G79" s="12" t="s">
        <v>23</v>
      </c>
    </row>
    <row r="80" spans="1:7" x14ac:dyDescent="0.25">
      <c r="A80" s="12" t="s">
        <v>6</v>
      </c>
      <c r="B80" s="12">
        <f>B79</f>
        <v>0.29660000000000003</v>
      </c>
      <c r="C80" s="12">
        <f>B83</f>
        <v>0.14885472816762216</v>
      </c>
      <c r="D80" s="12">
        <f>C83</f>
        <v>0.10936357413771972</v>
      </c>
      <c r="E80" s="12">
        <f>D83</f>
        <v>0.10006708195826124</v>
      </c>
      <c r="F80" s="12">
        <f>E83</f>
        <v>9.8296005482242127E-2</v>
      </c>
      <c r="G80" s="12" t="s">
        <v>24</v>
      </c>
    </row>
    <row r="81" spans="1:7" x14ac:dyDescent="0.25">
      <c r="A81" s="12" t="s">
        <v>7</v>
      </c>
      <c r="B81" s="12">
        <f>B76*NORMSDIST(B86)-B78*EXP(-B75*B77)*NORMSDIST(B87)</f>
        <v>89.822193522931499</v>
      </c>
      <c r="C81" s="12">
        <f t="shared" ref="C81:F81" si="34">C76*NORMSDIST(C86)-C78*EXP(-C75*C77)*NORMSDIST(C87)</f>
        <v>73.055035940801332</v>
      </c>
      <c r="D81" s="12">
        <f t="shared" si="34"/>
        <v>70.429576513179029</v>
      </c>
      <c r="E81" s="12">
        <f t="shared" si="34"/>
        <v>70.031408064064891</v>
      </c>
      <c r="F81" s="12">
        <f t="shared" si="34"/>
        <v>71.264376948289254</v>
      </c>
      <c r="G81" s="12" t="s">
        <v>25</v>
      </c>
    </row>
    <row r="82" spans="1:7" x14ac:dyDescent="0.25">
      <c r="A82" s="12" t="s">
        <v>8</v>
      </c>
      <c r="B82" s="12">
        <f>NORMSDIST(B86)</f>
        <v>0.81733783099256385</v>
      </c>
      <c r="C82" s="12">
        <f t="shared" ref="C82:F82" si="35">NORMSDIST(C86)</f>
        <v>0.90481135462177387</v>
      </c>
      <c r="D82" s="12">
        <f t="shared" si="35"/>
        <v>0.95333254605897111</v>
      </c>
      <c r="E82" s="12">
        <f t="shared" si="35"/>
        <v>0.96502278441432643</v>
      </c>
      <c r="F82" s="12">
        <f t="shared" si="35"/>
        <v>0.9701230257467186</v>
      </c>
      <c r="G82" s="12" t="s">
        <v>25</v>
      </c>
    </row>
    <row r="83" spans="1:7" x14ac:dyDescent="0.25">
      <c r="A83" s="12" t="s">
        <v>9</v>
      </c>
      <c r="B83" s="12">
        <f>(B79*B81)/(B76*B82)</f>
        <v>0.14885472816762216</v>
      </c>
      <c r="C83" s="12">
        <f t="shared" ref="C83:F83" si="36">(C79*C81)/(C76*C82)</f>
        <v>0.10936357413771972</v>
      </c>
      <c r="D83" s="12">
        <f t="shared" si="36"/>
        <v>0.10006708195826124</v>
      </c>
      <c r="E83" s="12">
        <f t="shared" si="36"/>
        <v>9.8296005482242127E-2</v>
      </c>
      <c r="F83" s="12">
        <f t="shared" si="36"/>
        <v>9.9500727982356069E-2</v>
      </c>
      <c r="G83" s="12" t="s">
        <v>25</v>
      </c>
    </row>
    <row r="84" spans="1:7" x14ac:dyDescent="0.25">
      <c r="A84" s="12"/>
      <c r="B84" s="12"/>
      <c r="C84" s="12"/>
      <c r="D84" s="12"/>
      <c r="E84" s="12"/>
      <c r="F84" s="12"/>
      <c r="G84" s="12"/>
    </row>
    <row r="85" spans="1:7" x14ac:dyDescent="0.25">
      <c r="A85" s="12"/>
      <c r="B85" s="12"/>
      <c r="C85" s="12"/>
      <c r="D85" s="12"/>
      <c r="E85" s="12"/>
      <c r="F85" s="12"/>
      <c r="G85" s="12"/>
    </row>
    <row r="86" spans="1:7" x14ac:dyDescent="0.25">
      <c r="A86" s="12" t="s">
        <v>10</v>
      </c>
      <c r="B86" s="12">
        <f>(LN(B76/B78)+(B75+0.5*B80^2)*B77)/(B80*SQRT(B77))</f>
        <v>0.90526627589072151</v>
      </c>
      <c r="C86" s="12">
        <f t="shared" ref="C86:F86" si="37">(LN(C76/C78)+(C75+0.5*C80^2)*C77)/(C80*SQRT(C77))</f>
        <v>1.3094638045309011</v>
      </c>
      <c r="D86" s="12">
        <f t="shared" si="37"/>
        <v>1.6780624517697869</v>
      </c>
      <c r="E86" s="12">
        <f t="shared" si="37"/>
        <v>1.8122056190465294</v>
      </c>
      <c r="F86" s="12">
        <f t="shared" si="37"/>
        <v>1.8826047771439665</v>
      </c>
      <c r="G86" s="12"/>
    </row>
    <row r="87" spans="1:7" x14ac:dyDescent="0.25">
      <c r="A87" s="12" t="s">
        <v>11</v>
      </c>
      <c r="B87" s="12">
        <f>B86-B80*SQRT(B77)</f>
        <v>0.24204851376428382</v>
      </c>
      <c r="C87" s="12">
        <f t="shared" ref="C87:F87" si="38">C86-C80*SQRT(C77)</f>
        <v>0.97661451357584517</v>
      </c>
      <c r="D87" s="12">
        <f t="shared" si="38"/>
        <v>1.4335180657355076</v>
      </c>
      <c r="E87" s="12">
        <f t="shared" si="38"/>
        <v>1.5884488214778145</v>
      </c>
      <c r="F87" s="12">
        <f t="shared" si="38"/>
        <v>1.662808226968981</v>
      </c>
      <c r="G87" s="12"/>
    </row>
    <row r="88" spans="1:7" x14ac:dyDescent="0.25">
      <c r="A88" s="12" t="s">
        <v>12</v>
      </c>
      <c r="B88" s="12">
        <f>B76-B78</f>
        <v>45.427960228976872</v>
      </c>
      <c r="C88" s="12">
        <f t="shared" ref="C88:F88" si="39">C76-C78</f>
        <v>45.427960228976872</v>
      </c>
      <c r="D88" s="12">
        <f t="shared" si="39"/>
        <v>45.427960228976872</v>
      </c>
      <c r="E88" s="12">
        <f t="shared" si="39"/>
        <v>45.427960228976872</v>
      </c>
      <c r="F88" s="12">
        <f t="shared" si="39"/>
        <v>45.427960228976872</v>
      </c>
      <c r="G88" s="12"/>
    </row>
    <row r="89" spans="1:7" x14ac:dyDescent="0.25">
      <c r="A89" s="12"/>
      <c r="B89" s="12"/>
      <c r="C89" s="12"/>
      <c r="D89" s="12"/>
      <c r="E89" s="12"/>
      <c r="F89" s="12"/>
      <c r="G89" s="12"/>
    </row>
    <row r="90" spans="1:7" x14ac:dyDescent="0.25">
      <c r="A90" s="12" t="s">
        <v>18</v>
      </c>
      <c r="B90" s="12"/>
      <c r="C90" s="12"/>
      <c r="D90" s="12"/>
      <c r="E90" s="12"/>
      <c r="F90" s="3">
        <f>1-NORMSDIST(F87)</f>
        <v>4.8175414649878401E-2</v>
      </c>
      <c r="G90" s="12"/>
    </row>
    <row r="92" spans="1:7" x14ac:dyDescent="0.25">
      <c r="A92" s="12"/>
      <c r="B92" s="12" t="s">
        <v>13</v>
      </c>
      <c r="C92" s="12" t="s">
        <v>14</v>
      </c>
      <c r="D92" s="12" t="s">
        <v>15</v>
      </c>
      <c r="E92" s="12" t="s">
        <v>16</v>
      </c>
      <c r="F92" s="12" t="s">
        <v>17</v>
      </c>
      <c r="G92" s="12"/>
    </row>
    <row r="93" spans="1:7" x14ac:dyDescent="0.25">
      <c r="A93" s="12" t="s">
        <v>1</v>
      </c>
      <c r="B93" s="12">
        <f>$O$16</f>
        <v>3.0293799999999999E-2</v>
      </c>
      <c r="C93" s="12">
        <f t="shared" ref="C93:F93" si="40">$O$16</f>
        <v>3.0293799999999999E-2</v>
      </c>
      <c r="D93" s="12">
        <f t="shared" si="40"/>
        <v>3.0293799999999999E-2</v>
      </c>
      <c r="E93" s="12">
        <f t="shared" si="40"/>
        <v>3.0293799999999999E-2</v>
      </c>
      <c r="F93" s="12">
        <f t="shared" si="40"/>
        <v>3.0293799999999999E-2</v>
      </c>
      <c r="G93" s="12" t="s">
        <v>19</v>
      </c>
    </row>
    <row r="94" spans="1:7" x14ac:dyDescent="0.25">
      <c r="A94" s="12" t="s">
        <v>2</v>
      </c>
      <c r="B94" s="12">
        <v>218.97300000000001</v>
      </c>
      <c r="C94" s="12">
        <f>B94</f>
        <v>218.97300000000001</v>
      </c>
      <c r="D94" s="12">
        <f>C94</f>
        <v>218.97300000000001</v>
      </c>
      <c r="E94" s="12">
        <f>D94</f>
        <v>218.97300000000001</v>
      </c>
      <c r="F94" s="12">
        <f>E94</f>
        <v>218.97300000000001</v>
      </c>
      <c r="G94" s="12" t="s">
        <v>20</v>
      </c>
    </row>
    <row r="95" spans="1:7" x14ac:dyDescent="0.25">
      <c r="A95" s="12" t="s">
        <v>3</v>
      </c>
      <c r="B95" s="12">
        <v>6</v>
      </c>
      <c r="C95" s="12">
        <f>B95</f>
        <v>6</v>
      </c>
      <c r="D95" s="12">
        <f t="shared" ref="D95:F95" si="41">C95</f>
        <v>6</v>
      </c>
      <c r="E95" s="12">
        <f t="shared" si="41"/>
        <v>6</v>
      </c>
      <c r="F95" s="12">
        <f t="shared" si="41"/>
        <v>6</v>
      </c>
      <c r="G95" s="12" t="s">
        <v>21</v>
      </c>
    </row>
    <row r="96" spans="1:7" x14ac:dyDescent="0.25">
      <c r="A96" s="12" t="s">
        <v>4</v>
      </c>
      <c r="B96" s="12">
        <f>150*(1+B93)^B95</f>
        <v>179.41459840560051</v>
      </c>
      <c r="C96" s="12">
        <f>B96</f>
        <v>179.41459840560051</v>
      </c>
      <c r="D96" s="12">
        <f>C96</f>
        <v>179.41459840560051</v>
      </c>
      <c r="E96" s="12">
        <f>D96</f>
        <v>179.41459840560051</v>
      </c>
      <c r="F96" s="12">
        <f>E96</f>
        <v>179.41459840560051</v>
      </c>
      <c r="G96" s="12" t="s">
        <v>22</v>
      </c>
    </row>
    <row r="97" spans="1:7" x14ac:dyDescent="0.25">
      <c r="A97" s="12" t="s">
        <v>5</v>
      </c>
      <c r="B97" s="12">
        <v>0.29660000000000003</v>
      </c>
      <c r="C97" s="12">
        <v>0.29660000000000003</v>
      </c>
      <c r="D97" s="12">
        <v>0.29660000000000003</v>
      </c>
      <c r="E97" s="12">
        <v>0.29660000000000003</v>
      </c>
      <c r="F97" s="12">
        <v>0.29660000000000003</v>
      </c>
      <c r="G97" s="12" t="s">
        <v>23</v>
      </c>
    </row>
    <row r="98" spans="1:7" x14ac:dyDescent="0.25">
      <c r="A98" s="12" t="s">
        <v>6</v>
      </c>
      <c r="B98" s="12">
        <f>B97</f>
        <v>0.29660000000000003</v>
      </c>
      <c r="C98" s="12">
        <f>B101</f>
        <v>0.15596479223490484</v>
      </c>
      <c r="D98" s="12">
        <f>C101</f>
        <v>0.11524897809813738</v>
      </c>
      <c r="E98" s="12">
        <f>D101</f>
        <v>0.10384672222572766</v>
      </c>
      <c r="F98" s="12">
        <f>E101</f>
        <v>0.10106057278270589</v>
      </c>
      <c r="G98" s="12" t="s">
        <v>24</v>
      </c>
    </row>
    <row r="99" spans="1:7" x14ac:dyDescent="0.25">
      <c r="A99" s="12" t="s">
        <v>7</v>
      </c>
      <c r="B99" s="12">
        <f>B94*NORMSDIST(B104)-B96*EXP(-B93*B95)*NORMSDIST(B105)</f>
        <v>93.572485162079388</v>
      </c>
      <c r="C99" s="12">
        <f t="shared" ref="C99:F99" si="42">C94*NORMSDIST(C104)-C96*EXP(-C93*C95)*NORMSDIST(C105)</f>
        <v>75.100924275863918</v>
      </c>
      <c r="D99" s="12">
        <f t="shared" si="42"/>
        <v>71.453875794754197</v>
      </c>
      <c r="E99" s="12">
        <f t="shared" si="42"/>
        <v>70.725223297552958</v>
      </c>
      <c r="F99" s="12">
        <f t="shared" si="42"/>
        <v>70.570812070641665</v>
      </c>
      <c r="G99" s="12" t="s">
        <v>25</v>
      </c>
    </row>
    <row r="100" spans="1:7" x14ac:dyDescent="0.25">
      <c r="A100" s="12" t="s">
        <v>8</v>
      </c>
      <c r="B100" s="12">
        <f>NORMSDIST(B104)</f>
        <v>0.81264743929601202</v>
      </c>
      <c r="C100" s="12">
        <f t="shared" ref="C100:F100" si="43">NORMSDIST(C104)</f>
        <v>0.88265051110639958</v>
      </c>
      <c r="D100" s="12">
        <f t="shared" si="43"/>
        <v>0.93199498582803975</v>
      </c>
      <c r="E100" s="12">
        <f t="shared" si="43"/>
        <v>0.94792319495418997</v>
      </c>
      <c r="F100" s="12">
        <f t="shared" si="43"/>
        <v>0.95183619843678624</v>
      </c>
      <c r="G100" s="12" t="s">
        <v>25</v>
      </c>
    </row>
    <row r="101" spans="1:7" x14ac:dyDescent="0.25">
      <c r="A101" s="12" t="s">
        <v>9</v>
      </c>
      <c r="B101" s="12">
        <f>(B97*B99)/(B94*B100)</f>
        <v>0.15596479223490484</v>
      </c>
      <c r="C101" s="12">
        <f t="shared" ref="C101:F101" si="44">(C97*C99)/(C94*C100)</f>
        <v>0.11524897809813738</v>
      </c>
      <c r="D101" s="12">
        <f t="shared" si="44"/>
        <v>0.10384672222572766</v>
      </c>
      <c r="E101" s="12">
        <f t="shared" si="44"/>
        <v>0.10106057278270589</v>
      </c>
      <c r="F101" s="12">
        <f t="shared" si="44"/>
        <v>0.10042537826428326</v>
      </c>
      <c r="G101" s="12" t="s">
        <v>25</v>
      </c>
    </row>
    <row r="102" spans="1:7" x14ac:dyDescent="0.25">
      <c r="A102" s="12"/>
      <c r="B102" s="12"/>
      <c r="C102" s="12"/>
      <c r="D102" s="12"/>
      <c r="E102" s="12"/>
      <c r="F102" s="12"/>
      <c r="G102" s="12"/>
    </row>
    <row r="103" spans="1:7" x14ac:dyDescent="0.25">
      <c r="A103" s="12"/>
      <c r="B103" s="12"/>
      <c r="C103" s="12"/>
      <c r="D103" s="12"/>
      <c r="E103" s="12"/>
      <c r="F103" s="12"/>
      <c r="G103" s="12"/>
    </row>
    <row r="104" spans="1:7" x14ac:dyDescent="0.25">
      <c r="A104" s="12" t="s">
        <v>10</v>
      </c>
      <c r="B104" s="12">
        <f>(LN(B94/B96)+(B93+0.5*B98^2)*B95)/(B98*SQRT(B95))</f>
        <v>0.88769446990612466</v>
      </c>
      <c r="C104" s="12">
        <f t="shared" ref="C104:F104" si="45">(LN(C94/C96)+(C93+0.5*C98^2)*C95)/(C98*SQRT(C95))</f>
        <v>1.188341287050082</v>
      </c>
      <c r="D104" s="12">
        <f t="shared" si="45"/>
        <v>1.4908151680525712</v>
      </c>
      <c r="E104" s="12">
        <f t="shared" si="45"/>
        <v>1.625041999200626</v>
      </c>
      <c r="F104" s="12">
        <f t="shared" si="45"/>
        <v>1.6629242319585515</v>
      </c>
      <c r="G104" s="12"/>
    </row>
    <row r="105" spans="1:7" x14ac:dyDescent="0.25">
      <c r="A105" s="12" t="s">
        <v>11</v>
      </c>
      <c r="B105" s="12">
        <f>B104-B98*SQRT(B95)</f>
        <v>0.16117581219663402</v>
      </c>
      <c r="C105" s="12">
        <f t="shared" ref="C105:F105" si="46">C104-C98*SQRT(C95)</f>
        <v>0.8063071282353732</v>
      </c>
      <c r="D105" s="12">
        <f t="shared" si="46"/>
        <v>1.2085139783349406</v>
      </c>
      <c r="E105" s="12">
        <f t="shared" si="46"/>
        <v>1.3706705182870522</v>
      </c>
      <c r="F105" s="12">
        <f t="shared" si="46"/>
        <v>1.4153773955275206</v>
      </c>
      <c r="G105" s="12"/>
    </row>
    <row r="106" spans="1:7" x14ac:dyDescent="0.25">
      <c r="A106" s="12" t="s">
        <v>12</v>
      </c>
      <c r="B106" s="12">
        <f>B94-B96</f>
        <v>39.558401594399498</v>
      </c>
      <c r="C106" s="12">
        <f t="shared" ref="C106:F106" si="47">C94-C96</f>
        <v>39.558401594399498</v>
      </c>
      <c r="D106" s="12">
        <f t="shared" si="47"/>
        <v>39.558401594399498</v>
      </c>
      <c r="E106" s="12">
        <f t="shared" si="47"/>
        <v>39.558401594399498</v>
      </c>
      <c r="F106" s="12">
        <f t="shared" si="47"/>
        <v>39.558401594399498</v>
      </c>
      <c r="G106" s="12"/>
    </row>
    <row r="107" spans="1:7" x14ac:dyDescent="0.25">
      <c r="A107" s="12"/>
      <c r="B107" s="12"/>
      <c r="C107" s="12"/>
      <c r="D107" s="12"/>
      <c r="E107" s="12"/>
      <c r="F107" s="12"/>
      <c r="G107" s="12"/>
    </row>
    <row r="108" spans="1:7" x14ac:dyDescent="0.25">
      <c r="A108" s="12" t="s">
        <v>18</v>
      </c>
      <c r="B108" s="12"/>
      <c r="C108" s="12"/>
      <c r="D108" s="12"/>
      <c r="E108" s="12"/>
      <c r="F108" s="3">
        <f>1-NORMSDIST(F105)</f>
        <v>7.8478936799899479E-2</v>
      </c>
      <c r="G108" s="12"/>
    </row>
    <row r="110" spans="1:7" x14ac:dyDescent="0.25">
      <c r="A110" s="12"/>
      <c r="B110" s="12" t="s">
        <v>13</v>
      </c>
      <c r="C110" s="12" t="s">
        <v>14</v>
      </c>
      <c r="D110" s="12" t="s">
        <v>15</v>
      </c>
      <c r="E110" s="12" t="s">
        <v>16</v>
      </c>
      <c r="F110" s="12" t="s">
        <v>17</v>
      </c>
      <c r="G110" s="12"/>
    </row>
    <row r="111" spans="1:7" x14ac:dyDescent="0.25">
      <c r="A111" s="12" t="s">
        <v>1</v>
      </c>
      <c r="B111" s="12">
        <f>$O$17</f>
        <v>3.0953700000000001E-2</v>
      </c>
      <c r="C111" s="12">
        <f t="shared" ref="C111:E111" si="48">$O$17</f>
        <v>3.0953700000000001E-2</v>
      </c>
      <c r="D111" s="12">
        <f t="shared" si="48"/>
        <v>3.0953700000000001E-2</v>
      </c>
      <c r="E111" s="12">
        <f t="shared" si="48"/>
        <v>3.0953700000000001E-2</v>
      </c>
      <c r="F111" s="12">
        <f>$O$17</f>
        <v>3.0953700000000001E-2</v>
      </c>
      <c r="G111" s="12" t="s">
        <v>19</v>
      </c>
    </row>
    <row r="112" spans="1:7" x14ac:dyDescent="0.25">
      <c r="A112" s="12" t="s">
        <v>2</v>
      </c>
      <c r="B112" s="12">
        <v>218.97300000000001</v>
      </c>
      <c r="C112" s="12">
        <f>B112</f>
        <v>218.97300000000001</v>
      </c>
      <c r="D112" s="12">
        <f>C112</f>
        <v>218.97300000000001</v>
      </c>
      <c r="E112" s="12">
        <f>D112</f>
        <v>218.97300000000001</v>
      </c>
      <c r="F112" s="12">
        <f>E112</f>
        <v>218.97300000000001</v>
      </c>
      <c r="G112" s="12" t="s">
        <v>20</v>
      </c>
    </row>
    <row r="113" spans="1:7" x14ac:dyDescent="0.25">
      <c r="A113" s="12" t="s">
        <v>3</v>
      </c>
      <c r="B113" s="12">
        <v>7</v>
      </c>
      <c r="C113" s="12">
        <f>B113</f>
        <v>7</v>
      </c>
      <c r="D113" s="12">
        <f t="shared" ref="D113:F113" si="49">C113</f>
        <v>7</v>
      </c>
      <c r="E113" s="12">
        <f t="shared" si="49"/>
        <v>7</v>
      </c>
      <c r="F113" s="12">
        <f t="shared" si="49"/>
        <v>7</v>
      </c>
      <c r="G113" s="12" t="s">
        <v>21</v>
      </c>
    </row>
    <row r="114" spans="1:7" x14ac:dyDescent="0.25">
      <c r="A114" s="12" t="s">
        <v>4</v>
      </c>
      <c r="B114" s="12">
        <f>150*(1+B111)^B113</f>
        <v>185.68011239584567</v>
      </c>
      <c r="C114" s="12">
        <f>B114</f>
        <v>185.68011239584567</v>
      </c>
      <c r="D114" s="12">
        <f>C114</f>
        <v>185.68011239584567</v>
      </c>
      <c r="E114" s="12">
        <f>D114</f>
        <v>185.68011239584567</v>
      </c>
      <c r="F114" s="12">
        <f>E114</f>
        <v>185.68011239584567</v>
      </c>
      <c r="G114" s="12" t="s">
        <v>22</v>
      </c>
    </row>
    <row r="115" spans="1:7" x14ac:dyDescent="0.25">
      <c r="A115" s="12" t="s">
        <v>5</v>
      </c>
      <c r="B115" s="12">
        <v>0.29660000000000003</v>
      </c>
      <c r="C115" s="12">
        <v>0.29660000000000003</v>
      </c>
      <c r="D115" s="12">
        <v>0.29660000000000003</v>
      </c>
      <c r="E115" s="12">
        <v>0.29660000000000003</v>
      </c>
      <c r="F115" s="12">
        <v>0.29660000000000003</v>
      </c>
      <c r="G115" s="12" t="s">
        <v>23</v>
      </c>
    </row>
    <row r="116" spans="1:7" x14ac:dyDescent="0.25">
      <c r="A116" s="12" t="s">
        <v>6</v>
      </c>
      <c r="B116" s="12">
        <f>B115</f>
        <v>0.29660000000000003</v>
      </c>
      <c r="C116" s="12">
        <f>B119</f>
        <v>0.16227459409497128</v>
      </c>
      <c r="D116" s="12">
        <f>C119</f>
        <v>0.12105835013846263</v>
      </c>
      <c r="E116" s="12">
        <f>D119</f>
        <v>0.10807253260941506</v>
      </c>
      <c r="F116" s="12">
        <f>E119</f>
        <v>0.10430993438625011</v>
      </c>
      <c r="G116" s="12" t="s">
        <v>24</v>
      </c>
    </row>
    <row r="117" spans="1:7" x14ac:dyDescent="0.25">
      <c r="A117" s="12" t="s">
        <v>7</v>
      </c>
      <c r="B117" s="12">
        <f>B112*NORMSDIST(B122)-B114*EXP(-B111*B113)*NORMSDIST(B123)</f>
        <v>97.065287527386559</v>
      </c>
      <c r="C117" s="12">
        <f t="shared" ref="C117:F117" si="50">C112*NORMSDIST(C122)-C114*EXP(-C111*C113)*NORMSDIST(C123)</f>
        <v>77.317069915811743</v>
      </c>
      <c r="D117" s="12">
        <f t="shared" si="50"/>
        <v>72.745606734774469</v>
      </c>
      <c r="E117" s="12">
        <f t="shared" si="50"/>
        <v>71.637037381955111</v>
      </c>
      <c r="F117" s="12">
        <f t="shared" si="50"/>
        <v>71.354188213355798</v>
      </c>
      <c r="G117" s="12" t="s">
        <v>25</v>
      </c>
    </row>
    <row r="118" spans="1:7" x14ac:dyDescent="0.25">
      <c r="A118" s="12" t="s">
        <v>8</v>
      </c>
      <c r="B118" s="12">
        <f>NORMSDIST(B122)</f>
        <v>0.81020327093354494</v>
      </c>
      <c r="C118" s="12">
        <f t="shared" ref="C118:F118" si="51">NORMSDIST(C122)</f>
        <v>0.86508984647979681</v>
      </c>
      <c r="D118" s="12">
        <f t="shared" si="51"/>
        <v>0.91174212271169042</v>
      </c>
      <c r="E118" s="12">
        <f t="shared" si="51"/>
        <v>0.93023467271947413</v>
      </c>
      <c r="F118" s="12">
        <f t="shared" si="51"/>
        <v>0.93583287166595319</v>
      </c>
      <c r="G118" s="12" t="s">
        <v>25</v>
      </c>
    </row>
    <row r="119" spans="1:7" x14ac:dyDescent="0.25">
      <c r="A119" s="12" t="s">
        <v>9</v>
      </c>
      <c r="B119" s="12">
        <f>(B115*B117)/(B112*B118)</f>
        <v>0.16227459409497128</v>
      </c>
      <c r="C119" s="12">
        <f t="shared" ref="C119:F119" si="52">(C115*C117)/(C112*C118)</f>
        <v>0.12105835013846263</v>
      </c>
      <c r="D119" s="12">
        <f t="shared" si="52"/>
        <v>0.10807253260941506</v>
      </c>
      <c r="E119" s="12">
        <f t="shared" si="52"/>
        <v>0.10430993438625011</v>
      </c>
      <c r="F119" s="12">
        <f t="shared" si="52"/>
        <v>0.1032765571914528</v>
      </c>
      <c r="G119" s="12" t="s">
        <v>25</v>
      </c>
    </row>
    <row r="120" spans="1:7" x14ac:dyDescent="0.25">
      <c r="A120" s="12"/>
      <c r="B120" s="12"/>
      <c r="C120" s="12"/>
      <c r="D120" s="12"/>
      <c r="E120" s="12"/>
      <c r="F120" s="12"/>
      <c r="G120" s="12"/>
    </row>
    <row r="121" spans="1:7" x14ac:dyDescent="0.25">
      <c r="A121" s="12"/>
      <c r="B121" s="12"/>
      <c r="C121" s="12"/>
      <c r="D121" s="12"/>
      <c r="E121" s="12"/>
      <c r="F121" s="12"/>
      <c r="G121" s="12"/>
    </row>
    <row r="122" spans="1:7" x14ac:dyDescent="0.25">
      <c r="A122" s="12" t="s">
        <v>10</v>
      </c>
      <c r="B122" s="12">
        <f>(LN(B112/B114)+(B111+0.5*B116^2)*B113)/(B116*SQRT(B113))</f>
        <v>0.87864560911648293</v>
      </c>
      <c r="C122" s="12">
        <f t="shared" ref="C122:F122" si="53">(LN(C112/C114)+(C111+0.5*C116^2)*C113)/(C116*SQRT(C113))</f>
        <v>1.1034764638040635</v>
      </c>
      <c r="D122" s="12">
        <f t="shared" si="53"/>
        <v>1.3515611217640067</v>
      </c>
      <c r="E122" s="12">
        <f t="shared" si="53"/>
        <v>1.4775410815458818</v>
      </c>
      <c r="F122" s="12">
        <f t="shared" si="53"/>
        <v>1.5207035133036146</v>
      </c>
      <c r="G122" s="12"/>
    </row>
    <row r="123" spans="1:7" x14ac:dyDescent="0.25">
      <c r="A123" s="12" t="s">
        <v>11</v>
      </c>
      <c r="B123" s="12">
        <f>B122-B116*SQRT(B113)</f>
        <v>9.3915770254725195E-2</v>
      </c>
      <c r="C123" s="12">
        <f t="shared" ref="C123:F123" si="54">C122-C116*SQRT(C113)</f>
        <v>0.6741382437248189</v>
      </c>
      <c r="D123" s="12">
        <f t="shared" si="54"/>
        <v>1.0312708331698528</v>
      </c>
      <c r="E123" s="12">
        <f t="shared" si="54"/>
        <v>1.1916080367044513</v>
      </c>
      <c r="F123" s="12">
        <f t="shared" si="54"/>
        <v>1.2447253676441319</v>
      </c>
      <c r="G123" s="12"/>
    </row>
    <row r="124" spans="1:7" x14ac:dyDescent="0.25">
      <c r="A124" s="12" t="s">
        <v>12</v>
      </c>
      <c r="B124" s="12">
        <f>B112-B114</f>
        <v>33.292887604154345</v>
      </c>
      <c r="C124" s="12">
        <f t="shared" ref="C124:F124" si="55">C112-C114</f>
        <v>33.292887604154345</v>
      </c>
      <c r="D124" s="12">
        <f t="shared" si="55"/>
        <v>33.292887604154345</v>
      </c>
      <c r="E124" s="12">
        <f t="shared" si="55"/>
        <v>33.292887604154345</v>
      </c>
      <c r="F124" s="12">
        <f t="shared" si="55"/>
        <v>33.292887604154345</v>
      </c>
      <c r="G124" s="12"/>
    </row>
    <row r="125" spans="1:7" x14ac:dyDescent="0.25">
      <c r="A125" s="12"/>
      <c r="B125" s="12"/>
      <c r="C125" s="12"/>
      <c r="D125" s="12"/>
      <c r="E125" s="12"/>
      <c r="F125" s="12"/>
      <c r="G125" s="12"/>
    </row>
    <row r="126" spans="1:7" x14ac:dyDescent="0.25">
      <c r="A126" s="12" t="s">
        <v>18</v>
      </c>
      <c r="B126" s="12"/>
      <c r="C126" s="12"/>
      <c r="D126" s="12"/>
      <c r="E126" s="12"/>
      <c r="F126" s="3">
        <f>1-NORMSDIST(F123)</f>
        <v>0.10661635895499533</v>
      </c>
      <c r="G126" s="12"/>
    </row>
    <row r="128" spans="1:7" x14ac:dyDescent="0.25">
      <c r="A128" s="12"/>
      <c r="B128" s="12" t="s">
        <v>13</v>
      </c>
      <c r="C128" s="12" t="s">
        <v>14</v>
      </c>
      <c r="D128" s="12" t="s">
        <v>15</v>
      </c>
      <c r="E128" s="12" t="s">
        <v>16</v>
      </c>
      <c r="F128" s="12" t="s">
        <v>17</v>
      </c>
      <c r="G128" s="12"/>
    </row>
    <row r="129" spans="1:7" x14ac:dyDescent="0.25">
      <c r="A129" s="12" t="s">
        <v>1</v>
      </c>
      <c r="B129" s="12">
        <f>$O$18</f>
        <v>3.1520600000000003E-2</v>
      </c>
      <c r="C129" s="12">
        <f t="shared" ref="C129:E129" si="56">$O$18</f>
        <v>3.1520600000000003E-2</v>
      </c>
      <c r="D129" s="12">
        <f t="shared" si="56"/>
        <v>3.1520600000000003E-2</v>
      </c>
      <c r="E129" s="12">
        <f t="shared" si="56"/>
        <v>3.1520600000000003E-2</v>
      </c>
      <c r="F129" s="12">
        <f>$O$18</f>
        <v>3.1520600000000003E-2</v>
      </c>
      <c r="G129" s="12" t="s">
        <v>19</v>
      </c>
    </row>
    <row r="130" spans="1:7" x14ac:dyDescent="0.25">
      <c r="A130" s="12" t="s">
        <v>2</v>
      </c>
      <c r="B130" s="12">
        <v>218.97300000000001</v>
      </c>
      <c r="C130" s="12">
        <f>B130</f>
        <v>218.97300000000001</v>
      </c>
      <c r="D130" s="12">
        <f>C130</f>
        <v>218.97300000000001</v>
      </c>
      <c r="E130" s="12">
        <f>D130</f>
        <v>218.97300000000001</v>
      </c>
      <c r="F130" s="12">
        <f>E130</f>
        <v>218.97300000000001</v>
      </c>
      <c r="G130" s="12" t="s">
        <v>20</v>
      </c>
    </row>
    <row r="131" spans="1:7" x14ac:dyDescent="0.25">
      <c r="A131" s="12" t="s">
        <v>3</v>
      </c>
      <c r="B131" s="12">
        <v>8</v>
      </c>
      <c r="C131" s="12">
        <f>B131</f>
        <v>8</v>
      </c>
      <c r="D131" s="12">
        <f t="shared" ref="D131:F131" si="57">C131</f>
        <v>8</v>
      </c>
      <c r="E131" s="12">
        <f t="shared" si="57"/>
        <v>8</v>
      </c>
      <c r="F131" s="12">
        <f t="shared" si="57"/>
        <v>8</v>
      </c>
      <c r="G131" s="12" t="s">
        <v>21</v>
      </c>
    </row>
    <row r="132" spans="1:7" x14ac:dyDescent="0.25">
      <c r="A132" s="12" t="s">
        <v>4</v>
      </c>
      <c r="B132" s="12">
        <f>150*(1+B129)^B131</f>
        <v>192.27131779986377</v>
      </c>
      <c r="C132" s="12">
        <f>B132</f>
        <v>192.27131779986377</v>
      </c>
      <c r="D132" s="12">
        <f>C132</f>
        <v>192.27131779986377</v>
      </c>
      <c r="E132" s="12">
        <f>D132</f>
        <v>192.27131779986377</v>
      </c>
      <c r="F132" s="12">
        <f>E132</f>
        <v>192.27131779986377</v>
      </c>
      <c r="G132" s="12" t="s">
        <v>22</v>
      </c>
    </row>
    <row r="133" spans="1:7" x14ac:dyDescent="0.25">
      <c r="A133" s="12" t="s">
        <v>5</v>
      </c>
      <c r="B133" s="12">
        <v>0.29660000000000003</v>
      </c>
      <c r="C133" s="12">
        <v>0.29660000000000003</v>
      </c>
      <c r="D133" s="12">
        <v>0.29660000000000003</v>
      </c>
      <c r="E133" s="12">
        <v>0.29660000000000003</v>
      </c>
      <c r="F133" s="12">
        <v>0.29660000000000003</v>
      </c>
      <c r="G133" s="12" t="s">
        <v>23</v>
      </c>
    </row>
    <row r="134" spans="1:7" x14ac:dyDescent="0.25">
      <c r="A134" s="12" t="s">
        <v>6</v>
      </c>
      <c r="B134" s="12">
        <f>B133</f>
        <v>0.29660000000000003</v>
      </c>
      <c r="C134" s="12">
        <f>B137</f>
        <v>0.16794564075055551</v>
      </c>
      <c r="D134" s="12">
        <f>C137</f>
        <v>0.12669876162515339</v>
      </c>
      <c r="E134" s="12">
        <f>D137</f>
        <v>0.11256131746646168</v>
      </c>
      <c r="F134" s="12">
        <f>E137</f>
        <v>0.10793455863934288</v>
      </c>
      <c r="G134" s="12" t="s">
        <v>24</v>
      </c>
    </row>
    <row r="135" spans="1:7" x14ac:dyDescent="0.25">
      <c r="A135" s="12" t="s">
        <v>7</v>
      </c>
      <c r="B135" s="12">
        <f>B130*NORMSDIST(B140)-B132*EXP(-B129*B131)*NORMSDIST(B141)</f>
        <v>100.3364583879254</v>
      </c>
      <c r="C135" s="12">
        <f t="shared" ref="C135:F135" si="58">C130*NORMSDIST(C140)-C132*EXP(-C129*C131)*NORMSDIST(C141)</f>
        <v>79.631579373044644</v>
      </c>
      <c r="D135" s="12">
        <f t="shared" si="58"/>
        <v>74.256748634215114</v>
      </c>
      <c r="E135" s="12">
        <f t="shared" si="58"/>
        <v>72.755812792572016</v>
      </c>
      <c r="F135" s="12">
        <f t="shared" si="58"/>
        <v>72.315715513605227</v>
      </c>
      <c r="G135" s="12" t="s">
        <v>25</v>
      </c>
    </row>
    <row r="136" spans="1:7" x14ac:dyDescent="0.25">
      <c r="A136" s="12" t="s">
        <v>8</v>
      </c>
      <c r="B136" s="12">
        <f>NORMSDIST(B140)</f>
        <v>0.8092274574987508</v>
      </c>
      <c r="C136" s="12">
        <f t="shared" ref="C136:F136" si="59">NORMSDIST(C140)</f>
        <v>0.85132137471793135</v>
      </c>
      <c r="D136" s="12">
        <f t="shared" si="59"/>
        <v>0.89356744971792135</v>
      </c>
      <c r="E136" s="12">
        <f t="shared" si="59"/>
        <v>0.91303569204982205</v>
      </c>
      <c r="F136" s="12">
        <f t="shared" si="59"/>
        <v>0.91993078020885177</v>
      </c>
      <c r="G136" s="12" t="s">
        <v>25</v>
      </c>
    </row>
    <row r="137" spans="1:7" x14ac:dyDescent="0.25">
      <c r="A137" s="12" t="s">
        <v>9</v>
      </c>
      <c r="B137" s="12">
        <f>(B133*B135)/(B130*B136)</f>
        <v>0.16794564075055551</v>
      </c>
      <c r="C137" s="12">
        <f t="shared" ref="C137:F137" si="60">(C133*C135)/(C130*C136)</f>
        <v>0.12669876162515339</v>
      </c>
      <c r="D137" s="12">
        <f t="shared" si="60"/>
        <v>0.11256131746646168</v>
      </c>
      <c r="E137" s="12">
        <f t="shared" si="60"/>
        <v>0.10793455863934288</v>
      </c>
      <c r="F137" s="12">
        <f t="shared" si="60"/>
        <v>0.10647756617431491</v>
      </c>
      <c r="G137" s="12" t="s">
        <v>25</v>
      </c>
    </row>
    <row r="138" spans="1:7" x14ac:dyDescent="0.25">
      <c r="A138" s="12"/>
      <c r="B138" s="12"/>
      <c r="C138" s="12"/>
      <c r="D138" s="12"/>
      <c r="E138" s="12"/>
      <c r="F138" s="12"/>
      <c r="G138" s="12"/>
    </row>
    <row r="139" spans="1:7" x14ac:dyDescent="0.25">
      <c r="A139" s="12"/>
      <c r="B139" s="12"/>
      <c r="C139" s="12"/>
      <c r="D139" s="12"/>
      <c r="E139" s="12"/>
      <c r="F139" s="12"/>
      <c r="G139" s="12"/>
    </row>
    <row r="140" spans="1:7" x14ac:dyDescent="0.25">
      <c r="A140" s="12" t="s">
        <v>10</v>
      </c>
      <c r="B140" s="12">
        <f>(LN(B130/B132)+(B129+0.5*B134^2)*B131)/(B134*SQRT(B131))</f>
        <v>0.87505296974988844</v>
      </c>
      <c r="C140" s="12">
        <f t="shared" ref="C140:F140" si="61">(LN(C130/C132)+(C129+0.5*C134^2)*C131)/(C134*SQRT(C131))</f>
        <v>1.0421174039191881</v>
      </c>
      <c r="D140" s="12">
        <f t="shared" si="61"/>
        <v>1.2457257396798462</v>
      </c>
      <c r="E140" s="12">
        <f t="shared" si="61"/>
        <v>1.3596881933497507</v>
      </c>
      <c r="F140" s="12">
        <f t="shared" si="61"/>
        <v>1.4046061071723801</v>
      </c>
      <c r="G140" s="12"/>
    </row>
    <row r="141" spans="1:7" x14ac:dyDescent="0.25">
      <c r="A141" s="12" t="s">
        <v>11</v>
      </c>
      <c r="B141" s="12">
        <f>B140-B134*SQRT(B131)</f>
        <v>3.6141484550168301E-2</v>
      </c>
      <c r="C141" s="12">
        <f t="shared" ref="C141:F141" si="62">C140-C134*SQRT(C131)</f>
        <v>0.5670953981374377</v>
      </c>
      <c r="D141" s="12">
        <f t="shared" si="62"/>
        <v>0.88736752562751064</v>
      </c>
      <c r="E141" s="12">
        <f t="shared" si="62"/>
        <v>1.0413167098304434</v>
      </c>
      <c r="F141" s="12">
        <f t="shared" si="62"/>
        <v>1.0993210738193544</v>
      </c>
      <c r="G141" s="12"/>
    </row>
    <row r="142" spans="1:7" x14ac:dyDescent="0.25">
      <c r="A142" s="12" t="s">
        <v>12</v>
      </c>
      <c r="B142" s="12">
        <f>B130-B132</f>
        <v>26.701682200136247</v>
      </c>
      <c r="C142" s="12">
        <f t="shared" ref="C142:F142" si="63">C130-C132</f>
        <v>26.701682200136247</v>
      </c>
      <c r="D142" s="12">
        <f t="shared" si="63"/>
        <v>26.701682200136247</v>
      </c>
      <c r="E142" s="12">
        <f t="shared" si="63"/>
        <v>26.701682200136247</v>
      </c>
      <c r="F142" s="12">
        <f t="shared" si="63"/>
        <v>26.701682200136247</v>
      </c>
      <c r="G142" s="12"/>
    </row>
    <row r="143" spans="1:7" x14ac:dyDescent="0.25">
      <c r="A143" s="12"/>
      <c r="B143" s="12"/>
      <c r="C143" s="12"/>
      <c r="D143" s="12"/>
      <c r="E143" s="12"/>
      <c r="F143" s="12"/>
      <c r="G143" s="12"/>
    </row>
    <row r="144" spans="1:7" x14ac:dyDescent="0.25">
      <c r="A144" s="12" t="s">
        <v>18</v>
      </c>
      <c r="B144" s="12"/>
      <c r="C144" s="12"/>
      <c r="D144" s="12"/>
      <c r="E144" s="12"/>
      <c r="F144" s="3">
        <f>1-NORMSDIST(F141)</f>
        <v>0.13581402172458423</v>
      </c>
      <c r="G144" s="12"/>
    </row>
    <row r="146" spans="1:7" x14ac:dyDescent="0.25">
      <c r="A146" s="12"/>
      <c r="B146" s="12" t="s">
        <v>13</v>
      </c>
      <c r="C146" s="12" t="s">
        <v>14</v>
      </c>
      <c r="D146" s="12" t="s">
        <v>15</v>
      </c>
      <c r="E146" s="12" t="s">
        <v>16</v>
      </c>
      <c r="F146" s="12" t="s">
        <v>17</v>
      </c>
      <c r="G146" s="12"/>
    </row>
    <row r="147" spans="1:7" x14ac:dyDescent="0.25">
      <c r="A147" s="12" t="s">
        <v>1</v>
      </c>
      <c r="B147" s="12">
        <f>$O$19</f>
        <v>3.1978199999999998E-2</v>
      </c>
      <c r="C147" s="12">
        <f t="shared" ref="C147:F147" si="64">$O$19</f>
        <v>3.1978199999999998E-2</v>
      </c>
      <c r="D147" s="12">
        <f t="shared" si="64"/>
        <v>3.1978199999999998E-2</v>
      </c>
      <c r="E147" s="12">
        <f t="shared" si="64"/>
        <v>3.1978199999999998E-2</v>
      </c>
      <c r="F147" s="12">
        <f t="shared" si="64"/>
        <v>3.1978199999999998E-2</v>
      </c>
      <c r="G147" s="12" t="s">
        <v>19</v>
      </c>
    </row>
    <row r="148" spans="1:7" x14ac:dyDescent="0.25">
      <c r="A148" s="12" t="s">
        <v>2</v>
      </c>
      <c r="B148" s="12">
        <v>218.97300000000001</v>
      </c>
      <c r="C148" s="12">
        <f>B148</f>
        <v>218.97300000000001</v>
      </c>
      <c r="D148" s="12">
        <f>C148</f>
        <v>218.97300000000001</v>
      </c>
      <c r="E148" s="12">
        <f>D148</f>
        <v>218.97300000000001</v>
      </c>
      <c r="F148" s="12">
        <f>E148</f>
        <v>218.97300000000001</v>
      </c>
      <c r="G148" s="12" t="s">
        <v>20</v>
      </c>
    </row>
    <row r="149" spans="1:7" x14ac:dyDescent="0.25">
      <c r="A149" s="12" t="s">
        <v>3</v>
      </c>
      <c r="B149" s="12">
        <v>9</v>
      </c>
      <c r="C149" s="12">
        <f>B149</f>
        <v>9</v>
      </c>
      <c r="D149" s="12">
        <f t="shared" ref="D149:F149" si="65">C149</f>
        <v>9</v>
      </c>
      <c r="E149" s="12">
        <f t="shared" si="65"/>
        <v>9</v>
      </c>
      <c r="F149" s="12">
        <f t="shared" si="65"/>
        <v>9</v>
      </c>
      <c r="G149" s="12" t="s">
        <v>21</v>
      </c>
    </row>
    <row r="150" spans="1:7" x14ac:dyDescent="0.25">
      <c r="A150" s="12" t="s">
        <v>4</v>
      </c>
      <c r="B150" s="12">
        <f>150*(1+B147)^B149</f>
        <v>199.12508186294721</v>
      </c>
      <c r="C150" s="12">
        <f>B150</f>
        <v>199.12508186294721</v>
      </c>
      <c r="D150" s="12">
        <f>C150</f>
        <v>199.12508186294721</v>
      </c>
      <c r="E150" s="12">
        <f>D150</f>
        <v>199.12508186294721</v>
      </c>
      <c r="F150" s="12">
        <f>E150</f>
        <v>199.12508186294721</v>
      </c>
      <c r="G150" s="12" t="s">
        <v>22</v>
      </c>
    </row>
    <row r="151" spans="1:7" x14ac:dyDescent="0.25">
      <c r="A151" s="12" t="s">
        <v>5</v>
      </c>
      <c r="B151" s="12">
        <v>0.29660000000000003</v>
      </c>
      <c r="C151" s="12">
        <v>0.29660000000000003</v>
      </c>
      <c r="D151" s="12">
        <v>0.29660000000000003</v>
      </c>
      <c r="E151" s="12">
        <v>0.29660000000000003</v>
      </c>
      <c r="F151" s="12">
        <v>0.29660000000000003</v>
      </c>
      <c r="G151" s="12" t="s">
        <v>23</v>
      </c>
    </row>
    <row r="152" spans="1:7" x14ac:dyDescent="0.25">
      <c r="A152" s="12" t="s">
        <v>6</v>
      </c>
      <c r="B152" s="12">
        <f>B151</f>
        <v>0.29660000000000003</v>
      </c>
      <c r="C152" s="12">
        <f>B155</f>
        <v>0.1730934525599403</v>
      </c>
      <c r="D152" s="12">
        <f>C155</f>
        <v>0.13212964980045852</v>
      </c>
      <c r="E152" s="12">
        <f>D155</f>
        <v>0.117184516997345</v>
      </c>
      <c r="F152" s="12">
        <f>E155</f>
        <v>0.11183354851340879</v>
      </c>
      <c r="G152" s="12" t="s">
        <v>24</v>
      </c>
    </row>
    <row r="153" spans="1:7" x14ac:dyDescent="0.25">
      <c r="A153" s="12" t="s">
        <v>7</v>
      </c>
      <c r="B153" s="12">
        <f>B148*NORMSDIST(B158)-B150*EXP(-B147*B149)*NORMSDIST(B159)</f>
        <v>103.41463038245203</v>
      </c>
      <c r="C153" s="12">
        <f t="shared" ref="C153:F153" si="66">C148*NORMSDIST(C158)-C150*EXP(-C147*C149)*NORMSDIST(C159)</f>
        <v>81.997302273897432</v>
      </c>
      <c r="D153" s="12">
        <f t="shared" si="66"/>
        <v>75.940832093918218</v>
      </c>
      <c r="E153" s="12">
        <f t="shared" si="66"/>
        <v>74.061094297897085</v>
      </c>
      <c r="F153" s="12">
        <f t="shared" si="66"/>
        <v>73.447942989731288</v>
      </c>
      <c r="G153" s="12" t="s">
        <v>25</v>
      </c>
    </row>
    <row r="154" spans="1:7" x14ac:dyDescent="0.25">
      <c r="A154" s="12" t="s">
        <v>8</v>
      </c>
      <c r="B154" s="12">
        <f>NORMSDIST(B158)</f>
        <v>0.80924853493843851</v>
      </c>
      <c r="C154" s="12">
        <f t="shared" ref="C154:F154" si="67">NORMSDIST(C158)</f>
        <v>0.8405815601184643</v>
      </c>
      <c r="D154" s="12">
        <f t="shared" si="67"/>
        <v>0.87778002852215498</v>
      </c>
      <c r="E154" s="12">
        <f t="shared" si="67"/>
        <v>0.89701271186463338</v>
      </c>
      <c r="F154" s="12">
        <f t="shared" si="67"/>
        <v>0.90469700338402015</v>
      </c>
      <c r="G154" s="12" t="s">
        <v>25</v>
      </c>
    </row>
    <row r="155" spans="1:7" x14ac:dyDescent="0.25">
      <c r="A155" s="12" t="s">
        <v>9</v>
      </c>
      <c r="B155" s="12">
        <f>(B151*B153)/(B148*B154)</f>
        <v>0.1730934525599403</v>
      </c>
      <c r="C155" s="12">
        <f t="shared" ref="C155:F155" si="68">(C151*C153)/(C148*C154)</f>
        <v>0.13212964980045852</v>
      </c>
      <c r="D155" s="12">
        <f t="shared" si="68"/>
        <v>0.117184516997345</v>
      </c>
      <c r="E155" s="12">
        <f t="shared" si="68"/>
        <v>0.11183354851340879</v>
      </c>
      <c r="F155" s="12">
        <f t="shared" si="68"/>
        <v>0.10996565458942567</v>
      </c>
      <c r="G155" s="12" t="s">
        <v>25</v>
      </c>
    </row>
    <row r="156" spans="1:7" x14ac:dyDescent="0.25">
      <c r="A156" s="12"/>
      <c r="B156" s="12"/>
      <c r="C156" s="12"/>
      <c r="D156" s="12"/>
      <c r="E156" s="12"/>
      <c r="F156" s="12"/>
      <c r="G156" s="12"/>
    </row>
    <row r="157" spans="1:7" x14ac:dyDescent="0.25">
      <c r="A157" s="12"/>
      <c r="B157" s="12"/>
      <c r="C157" s="12"/>
      <c r="D157" s="12"/>
      <c r="E157" s="12"/>
      <c r="F157" s="12"/>
      <c r="G157" s="12"/>
    </row>
    <row r="158" spans="1:7" x14ac:dyDescent="0.25">
      <c r="A158" s="12" t="s">
        <v>10</v>
      </c>
      <c r="B158" s="12">
        <f>(LN(B148/B150)+(B147+0.5*B152^2)*B149)/(B152*SQRT(B149))</f>
        <v>0.87513045088922603</v>
      </c>
      <c r="C158" s="12">
        <f t="shared" ref="C158:F158" si="69">(LN(C148/C150)+(C147+0.5*C152^2)*C149)/(C152*SQRT(C149))</f>
        <v>0.99685091585236796</v>
      </c>
      <c r="D158" s="12">
        <f t="shared" si="69"/>
        <v>1.1639606893728287</v>
      </c>
      <c r="E158" s="12">
        <f t="shared" si="69"/>
        <v>1.2647120290895921</v>
      </c>
      <c r="F158" s="12">
        <f t="shared" si="69"/>
        <v>1.3087885302668956</v>
      </c>
      <c r="G158" s="12"/>
    </row>
    <row r="159" spans="1:7" x14ac:dyDescent="0.25">
      <c r="A159" s="12" t="s">
        <v>11</v>
      </c>
      <c r="B159" s="12">
        <f>B158-B152*SQRT(B149)</f>
        <v>-1.4669549110774116E-2</v>
      </c>
      <c r="C159" s="12">
        <f t="shared" ref="C159:F159" si="70">C158-C152*SQRT(C149)</f>
        <v>0.47757055817254712</v>
      </c>
      <c r="D159" s="12">
        <f t="shared" si="70"/>
        <v>0.76757173997145312</v>
      </c>
      <c r="E159" s="12">
        <f t="shared" si="70"/>
        <v>0.91315847809755712</v>
      </c>
      <c r="F159" s="12">
        <f t="shared" si="70"/>
        <v>0.97328788472666916</v>
      </c>
      <c r="G159" s="12"/>
    </row>
    <row r="160" spans="1:7" x14ac:dyDescent="0.25">
      <c r="A160" s="12" t="s">
        <v>12</v>
      </c>
      <c r="B160" s="12">
        <f>B148-B150</f>
        <v>19.847918137052801</v>
      </c>
      <c r="C160" s="12">
        <f t="shared" ref="C160:F160" si="71">C148-C150</f>
        <v>19.847918137052801</v>
      </c>
      <c r="D160" s="12">
        <f t="shared" si="71"/>
        <v>19.847918137052801</v>
      </c>
      <c r="E160" s="12">
        <f t="shared" si="71"/>
        <v>19.847918137052801</v>
      </c>
      <c r="F160" s="12">
        <f t="shared" si="71"/>
        <v>19.847918137052801</v>
      </c>
      <c r="G160" s="12"/>
    </row>
    <row r="161" spans="1:7" x14ac:dyDescent="0.25">
      <c r="A161" s="12"/>
      <c r="B161" s="12"/>
      <c r="C161" s="12"/>
      <c r="D161" s="12"/>
      <c r="E161" s="12"/>
      <c r="F161" s="12"/>
      <c r="G161" s="12"/>
    </row>
    <row r="162" spans="1:7" x14ac:dyDescent="0.25">
      <c r="A162" s="12" t="s">
        <v>18</v>
      </c>
      <c r="B162" s="12"/>
      <c r="C162" s="12"/>
      <c r="D162" s="12"/>
      <c r="E162" s="12"/>
      <c r="F162" s="3">
        <f>1-NORMSDIST(F159)</f>
        <v>0.1652051210419756</v>
      </c>
      <c r="G162" s="12"/>
    </row>
    <row r="164" spans="1:7" x14ac:dyDescent="0.25">
      <c r="A164" s="12"/>
      <c r="B164" s="12" t="s">
        <v>13</v>
      </c>
      <c r="C164" s="12" t="s">
        <v>14</v>
      </c>
      <c r="D164" s="12" t="s">
        <v>15</v>
      </c>
      <c r="E164" s="12" t="s">
        <v>16</v>
      </c>
      <c r="F164" s="12" t="s">
        <v>17</v>
      </c>
      <c r="G164" s="12"/>
    </row>
    <row r="165" spans="1:7" x14ac:dyDescent="0.25">
      <c r="A165" s="12" t="s">
        <v>1</v>
      </c>
      <c r="B165" s="12">
        <f>$O$20</f>
        <v>3.2329400000000001E-2</v>
      </c>
      <c r="C165" s="12">
        <f t="shared" ref="C165:F165" si="72">$O$20</f>
        <v>3.2329400000000001E-2</v>
      </c>
      <c r="D165" s="12">
        <f t="shared" si="72"/>
        <v>3.2329400000000001E-2</v>
      </c>
      <c r="E165" s="12">
        <f t="shared" si="72"/>
        <v>3.2329400000000001E-2</v>
      </c>
      <c r="F165" s="12">
        <f t="shared" si="72"/>
        <v>3.2329400000000001E-2</v>
      </c>
      <c r="G165" s="12" t="s">
        <v>19</v>
      </c>
    </row>
    <row r="166" spans="1:7" x14ac:dyDescent="0.25">
      <c r="A166" s="12" t="s">
        <v>2</v>
      </c>
      <c r="B166" s="12">
        <v>218.97300000000001</v>
      </c>
      <c r="C166" s="12">
        <f>B166</f>
        <v>218.97300000000001</v>
      </c>
      <c r="D166" s="12">
        <f>C166</f>
        <v>218.97300000000001</v>
      </c>
      <c r="E166" s="12">
        <f>D166</f>
        <v>218.97300000000001</v>
      </c>
      <c r="F166" s="12">
        <f>E166</f>
        <v>218.97300000000001</v>
      </c>
      <c r="G166" s="12" t="s">
        <v>20</v>
      </c>
    </row>
    <row r="167" spans="1:7" x14ac:dyDescent="0.25">
      <c r="A167" s="12" t="s">
        <v>3</v>
      </c>
      <c r="B167" s="12">
        <v>10</v>
      </c>
      <c r="C167" s="12">
        <f>B167</f>
        <v>10</v>
      </c>
      <c r="D167" s="12">
        <f t="shared" ref="D167:F167" si="73">C167</f>
        <v>10</v>
      </c>
      <c r="E167" s="12">
        <f t="shared" si="73"/>
        <v>10</v>
      </c>
      <c r="F167" s="12">
        <f t="shared" si="73"/>
        <v>10</v>
      </c>
      <c r="G167" s="12" t="s">
        <v>21</v>
      </c>
    </row>
    <row r="168" spans="1:7" x14ac:dyDescent="0.25">
      <c r="A168" s="12" t="s">
        <v>4</v>
      </c>
      <c r="B168" s="12">
        <f>150*(1+B165)^B167</f>
        <v>206.19314278495563</v>
      </c>
      <c r="C168" s="12">
        <f>B168</f>
        <v>206.19314278495563</v>
      </c>
      <c r="D168" s="12">
        <f>C168</f>
        <v>206.19314278495563</v>
      </c>
      <c r="E168" s="12">
        <f>D168</f>
        <v>206.19314278495563</v>
      </c>
      <c r="F168" s="12">
        <f>E168</f>
        <v>206.19314278495563</v>
      </c>
      <c r="G168" s="12" t="s">
        <v>22</v>
      </c>
    </row>
    <row r="169" spans="1:7" x14ac:dyDescent="0.25">
      <c r="A169" s="12" t="s">
        <v>5</v>
      </c>
      <c r="B169" s="12">
        <v>0.29660000000000003</v>
      </c>
      <c r="C169" s="12">
        <v>0.29660000000000003</v>
      </c>
      <c r="D169" s="12">
        <v>0.29660000000000003</v>
      </c>
      <c r="E169" s="12">
        <v>0.29660000000000003</v>
      </c>
      <c r="F169" s="12">
        <v>0.29660000000000003</v>
      </c>
      <c r="G169" s="12" t="s">
        <v>23</v>
      </c>
    </row>
    <row r="170" spans="1:7" x14ac:dyDescent="0.25">
      <c r="A170" s="12" t="s">
        <v>6</v>
      </c>
      <c r="B170" s="12">
        <f>B169</f>
        <v>0.29660000000000003</v>
      </c>
      <c r="C170" s="12">
        <f>B173</f>
        <v>0.17780386384573049</v>
      </c>
      <c r="D170" s="12">
        <f>C173</f>
        <v>0.13733641858087159</v>
      </c>
      <c r="E170" s="12">
        <f>D173</f>
        <v>0.12185409908277177</v>
      </c>
      <c r="F170" s="12">
        <f>E173</f>
        <v>0.11592120254979171</v>
      </c>
      <c r="G170" s="12" t="s">
        <v>24</v>
      </c>
    </row>
    <row r="171" spans="1:7" x14ac:dyDescent="0.25">
      <c r="A171" s="12" t="s">
        <v>7</v>
      </c>
      <c r="B171" s="12">
        <f>B166*NORMSDIST(B176)-B168*EXP(-B165*B167)*NORMSDIST(B177)</f>
        <v>106.32296086810651</v>
      </c>
      <c r="C171" s="12">
        <f t="shared" ref="C171:F171" si="74">C166*NORMSDIST(C176)-C168*EXP(-C165*C167)*NORMSDIST(C177)</f>
        <v>84.383120627366708</v>
      </c>
      <c r="D171" s="12">
        <f t="shared" si="74"/>
        <v>77.75774850994182</v>
      </c>
      <c r="E171" s="12">
        <f t="shared" si="74"/>
        <v>75.528471557857856</v>
      </c>
      <c r="F171" s="12">
        <f t="shared" si="74"/>
        <v>74.738391708342462</v>
      </c>
      <c r="G171" s="12" t="s">
        <v>25</v>
      </c>
    </row>
    <row r="172" spans="1:7" x14ac:dyDescent="0.25">
      <c r="A172" s="12" t="s">
        <v>8</v>
      </c>
      <c r="B172" s="12">
        <f>NORMSDIST(B176)</f>
        <v>0.80996536099274863</v>
      </c>
      <c r="C172" s="12">
        <f t="shared" ref="C172:F172" si="75">NORMSDIST(C176)</f>
        <v>0.83224355915589621</v>
      </c>
      <c r="D172" s="12">
        <f t="shared" si="75"/>
        <v>0.86433900575603806</v>
      </c>
      <c r="E172" s="12">
        <f t="shared" si="75"/>
        <v>0.88252780387130136</v>
      </c>
      <c r="F172" s="12">
        <f t="shared" si="75"/>
        <v>0.89051371183908945</v>
      </c>
      <c r="G172" s="12" t="s">
        <v>25</v>
      </c>
    </row>
    <row r="173" spans="1:7" x14ac:dyDescent="0.25">
      <c r="A173" s="12" t="s">
        <v>9</v>
      </c>
      <c r="B173" s="12">
        <f>(B169*B171)/(B166*B172)</f>
        <v>0.17780386384573049</v>
      </c>
      <c r="C173" s="12">
        <f t="shared" ref="C173:F173" si="76">(C169*C171)/(C166*C172)</f>
        <v>0.13733641858087159</v>
      </c>
      <c r="D173" s="12">
        <f t="shared" si="76"/>
        <v>0.12185409908277177</v>
      </c>
      <c r="E173" s="12">
        <f t="shared" si="76"/>
        <v>0.11592120254979171</v>
      </c>
      <c r="F173" s="12">
        <f t="shared" si="76"/>
        <v>0.11367990850703043</v>
      </c>
      <c r="G173" s="12" t="s">
        <v>25</v>
      </c>
    </row>
    <row r="174" spans="1:7" x14ac:dyDescent="0.25">
      <c r="A174" s="12"/>
      <c r="B174" s="12"/>
      <c r="C174" s="12"/>
      <c r="D174" s="12"/>
      <c r="E174" s="12"/>
      <c r="F174" s="12"/>
      <c r="G174" s="12"/>
    </row>
    <row r="175" spans="1:7" x14ac:dyDescent="0.25">
      <c r="A175" s="12"/>
      <c r="B175" s="12"/>
      <c r="C175" s="12"/>
      <c r="D175" s="12"/>
      <c r="E175" s="12"/>
      <c r="F175" s="12"/>
      <c r="G175" s="12"/>
    </row>
    <row r="176" spans="1:7" x14ac:dyDescent="0.25">
      <c r="A176" s="12" t="s">
        <v>10</v>
      </c>
      <c r="B176" s="12">
        <f>(LN(B166/B168)+(B165+0.5*B170^2)*B167)/(B170*SQRT(B167))</f>
        <v>0.87776865504059221</v>
      </c>
      <c r="C176" s="12">
        <f t="shared" ref="C176:F176" si="77">(LN(C166/C168)+(C165+0.5*C170^2)*C167)/(C170*SQRT(C167))</f>
        <v>0.96306903155999168</v>
      </c>
      <c r="D176" s="12">
        <f t="shared" si="77"/>
        <v>1.1000232578223579</v>
      </c>
      <c r="E176" s="12">
        <f t="shared" si="77"/>
        <v>1.1877183488812053</v>
      </c>
      <c r="F176" s="12">
        <f t="shared" si="77"/>
        <v>1.2292647039044025</v>
      </c>
      <c r="G176" s="12"/>
    </row>
    <row r="177" spans="1:11" x14ac:dyDescent="0.25">
      <c r="A177" s="12" t="s">
        <v>11</v>
      </c>
      <c r="B177" s="12">
        <f>B176-B170*SQRT(B167)</f>
        <v>-6.016289896534921E-2</v>
      </c>
      <c r="C177" s="12">
        <f t="shared" ref="C177:F177" si="78">C176-C170*SQRT(C167)</f>
        <v>0.40080384502901789</v>
      </c>
      <c r="D177" s="12">
        <f t="shared" si="78"/>
        <v>0.6657273694165341</v>
      </c>
      <c r="E177" s="12">
        <f t="shared" si="78"/>
        <v>0.80238185355181191</v>
      </c>
      <c r="F177" s="12">
        <f t="shared" si="78"/>
        <v>0.86268967474134239</v>
      </c>
      <c r="G177" s="12"/>
    </row>
    <row r="178" spans="1:11" x14ac:dyDescent="0.25">
      <c r="A178" s="12" t="s">
        <v>12</v>
      </c>
      <c r="B178" s="12">
        <f>B166-B168</f>
        <v>12.779857215044387</v>
      </c>
      <c r="C178" s="12">
        <f t="shared" ref="C178:F178" si="79">C166-C168</f>
        <v>12.779857215044387</v>
      </c>
      <c r="D178" s="12">
        <f t="shared" si="79"/>
        <v>12.779857215044387</v>
      </c>
      <c r="E178" s="12">
        <f t="shared" si="79"/>
        <v>12.779857215044387</v>
      </c>
      <c r="F178" s="12">
        <f t="shared" si="79"/>
        <v>12.779857215044387</v>
      </c>
      <c r="G178" s="12"/>
    </row>
    <row r="179" spans="1:11" x14ac:dyDescent="0.25">
      <c r="A179" s="12"/>
      <c r="B179" s="12"/>
      <c r="C179" s="12"/>
      <c r="D179" s="12"/>
      <c r="E179" s="12"/>
      <c r="F179" s="12"/>
      <c r="G179" s="12"/>
    </row>
    <row r="180" spans="1:11" x14ac:dyDescent="0.25">
      <c r="A180" s="12" t="s">
        <v>18</v>
      </c>
      <c r="B180" s="12"/>
      <c r="C180" s="12"/>
      <c r="D180" s="12"/>
      <c r="E180" s="12"/>
      <c r="F180" s="3">
        <f>1-NORMSDIST(F177)</f>
        <v>0.19415405543091036</v>
      </c>
      <c r="G180" s="12"/>
    </row>
    <row r="187" spans="1:11" x14ac:dyDescent="0.25">
      <c r="B187" s="31"/>
      <c r="C187" s="31"/>
    </row>
    <row r="188" spans="1:11" x14ac:dyDescent="0.25">
      <c r="B188" s="31"/>
      <c r="C188" s="31"/>
    </row>
    <row r="189" spans="1:11" x14ac:dyDescent="0.25">
      <c r="A189" s="20" t="s">
        <v>55</v>
      </c>
      <c r="B189" s="31"/>
      <c r="C189" s="31"/>
    </row>
    <row r="190" spans="1:11" x14ac:dyDescent="0.25">
      <c r="A190" s="29" t="s">
        <v>65</v>
      </c>
      <c r="B190" s="40">
        <v>3.14247E-2</v>
      </c>
      <c r="C190" s="40">
        <v>3.14247E-2</v>
      </c>
      <c r="D190" s="40">
        <v>3.14247E-2</v>
      </c>
      <c r="E190" s="40">
        <v>3.14247E-2</v>
      </c>
      <c r="F190" s="40">
        <v>3.14247E-2</v>
      </c>
      <c r="G190" s="40">
        <v>3.0293799999999999E-2</v>
      </c>
      <c r="H190" s="40">
        <v>3.0953700000000001E-2</v>
      </c>
      <c r="I190" s="40">
        <v>3.1520600000000003E-2</v>
      </c>
      <c r="J190" s="40">
        <v>3.1978199999999998E-2</v>
      </c>
      <c r="K190" s="40">
        <v>3.2329400000000001E-2</v>
      </c>
    </row>
    <row r="191" spans="1:11" x14ac:dyDescent="0.25">
      <c r="A191" s="21" t="s">
        <v>64</v>
      </c>
      <c r="B191" s="39">
        <v>218.97300000000001</v>
      </c>
      <c r="C191" s="39">
        <v>218.97300000000001</v>
      </c>
      <c r="D191" s="39">
        <v>218.97300000000001</v>
      </c>
      <c r="E191" s="39">
        <v>218.97300000000001</v>
      </c>
      <c r="F191" s="39">
        <v>218.97300000000001</v>
      </c>
      <c r="G191" s="39">
        <v>218.97300000000001</v>
      </c>
      <c r="H191" s="39">
        <v>218.97300000000001</v>
      </c>
      <c r="I191" s="39">
        <v>218.97300000000001</v>
      </c>
      <c r="J191" s="39">
        <v>218.97300000000001</v>
      </c>
      <c r="K191" s="39">
        <v>218.97300000000001</v>
      </c>
    </row>
    <row r="192" spans="1:11" x14ac:dyDescent="0.25">
      <c r="A192" s="21" t="s">
        <v>56</v>
      </c>
      <c r="B192" s="39">
        <v>1</v>
      </c>
      <c r="C192" s="39">
        <v>2</v>
      </c>
      <c r="D192" s="39">
        <v>3</v>
      </c>
      <c r="E192" s="39">
        <v>4</v>
      </c>
      <c r="F192" s="39">
        <v>5</v>
      </c>
      <c r="G192" s="39">
        <v>6</v>
      </c>
      <c r="H192" s="39">
        <v>7</v>
      </c>
      <c r="I192" s="39">
        <v>8</v>
      </c>
      <c r="J192" s="39">
        <v>9</v>
      </c>
      <c r="K192" s="39">
        <v>10</v>
      </c>
    </row>
    <row r="193" spans="1:11" x14ac:dyDescent="0.25">
      <c r="A193" s="21" t="s">
        <v>61</v>
      </c>
      <c r="B193" s="39">
        <v>154.45486500000001</v>
      </c>
      <c r="C193" s="39">
        <v>158.71799993702399</v>
      </c>
      <c r="D193" s="39">
        <v>163.20812293772846</v>
      </c>
      <c r="E193" s="39">
        <v>168.13359572509808</v>
      </c>
      <c r="F193" s="39">
        <v>173.54503977102314</v>
      </c>
      <c r="G193" s="39">
        <v>179.41459840560051</v>
      </c>
      <c r="H193" s="39">
        <v>185.68011239584567</v>
      </c>
      <c r="I193" s="39">
        <v>192.27131779986377</v>
      </c>
      <c r="J193" s="39">
        <v>199.12508186294721</v>
      </c>
      <c r="K193" s="39">
        <v>206.19314278495563</v>
      </c>
    </row>
    <row r="194" spans="1:11" x14ac:dyDescent="0.25">
      <c r="A194" s="21" t="s">
        <v>63</v>
      </c>
      <c r="B194" s="32">
        <v>0.29660000000000003</v>
      </c>
      <c r="C194" s="32">
        <v>0.29660000000000003</v>
      </c>
      <c r="D194" s="32">
        <v>0.29660000000000003</v>
      </c>
      <c r="E194" s="32">
        <v>0.29660000000000003</v>
      </c>
      <c r="F194" s="32">
        <v>0.29660000000000003</v>
      </c>
      <c r="G194" s="32">
        <v>0.29660000000000003</v>
      </c>
      <c r="H194" s="32">
        <v>0.29660000000000003</v>
      </c>
      <c r="I194" s="32">
        <v>0.29660000000000003</v>
      </c>
      <c r="J194" s="32">
        <v>0.29660000000000003</v>
      </c>
      <c r="K194" s="32">
        <v>0.29660000000000003</v>
      </c>
    </row>
    <row r="195" spans="1:11" x14ac:dyDescent="0.25">
      <c r="A195" s="21" t="s">
        <v>62</v>
      </c>
      <c r="B195" s="32">
        <v>9.3514204577670443E-2</v>
      </c>
      <c r="C195" s="32">
        <v>9.3769804313161745E-2</v>
      </c>
      <c r="D195" s="32">
        <v>9.4602150497699655E-2</v>
      </c>
      <c r="E195" s="32">
        <v>9.6118856962039881E-2</v>
      </c>
      <c r="F195" s="32">
        <v>9.8296005482242127E-2</v>
      </c>
      <c r="G195" s="32">
        <v>0.10106057278270589</v>
      </c>
      <c r="H195" s="32">
        <v>0.10430993438625011</v>
      </c>
      <c r="I195" s="32">
        <v>0.10793455863934288</v>
      </c>
      <c r="J195" s="32">
        <v>0.11183354851340879</v>
      </c>
      <c r="K195" s="32">
        <v>0.11592120254979171</v>
      </c>
    </row>
    <row r="196" spans="1:11" x14ac:dyDescent="0.25">
      <c r="A196" s="22" t="s">
        <v>18</v>
      </c>
      <c r="B196" s="33">
        <v>2.8873170506815704E-5</v>
      </c>
      <c r="C196" s="33">
        <v>2.2953348434517906E-3</v>
      </c>
      <c r="D196" s="33">
        <v>1.1091872759375621E-2</v>
      </c>
      <c r="E196" s="33">
        <v>2.667736911594254E-2</v>
      </c>
      <c r="F196" s="33">
        <v>4.8175414649878401E-2</v>
      </c>
      <c r="G196" s="33">
        <v>7.8478936799899479E-2</v>
      </c>
      <c r="H196" s="33">
        <v>0.10661635895499533</v>
      </c>
      <c r="I196" s="33">
        <v>0.13581402172458423</v>
      </c>
      <c r="J196" s="33">
        <v>0.1652051210419756</v>
      </c>
      <c r="K196" s="33">
        <v>0.19415405543091036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619E-EDFE-4FF4-B7BF-C3C028C35802}">
  <dimension ref="C6:I136"/>
  <sheetViews>
    <sheetView topLeftCell="A62" zoomScale="59" zoomScaleNormal="118" workbookViewId="0">
      <selection activeCell="I20" sqref="I20"/>
    </sheetView>
  </sheetViews>
  <sheetFormatPr defaultRowHeight="12.5" x14ac:dyDescent="0.25"/>
  <cols>
    <col min="3" max="3" width="11.7265625" customWidth="1"/>
    <col min="4" max="4" width="12" customWidth="1"/>
    <col min="5" max="5" width="14.36328125" customWidth="1"/>
    <col min="6" max="6" width="14.81640625" customWidth="1"/>
    <col min="7" max="7" width="6.7265625" customWidth="1"/>
    <col min="8" max="8" width="8.6328125" customWidth="1"/>
    <col min="9" max="9" width="20.453125" customWidth="1"/>
  </cols>
  <sheetData>
    <row r="6" spans="3:7" ht="25" x14ac:dyDescent="0.25">
      <c r="C6" s="31"/>
      <c r="D6" s="20" t="s">
        <v>66</v>
      </c>
      <c r="E6" s="42" t="s">
        <v>68</v>
      </c>
      <c r="F6" s="42" t="s">
        <v>67</v>
      </c>
      <c r="G6" s="43" t="s">
        <v>69</v>
      </c>
    </row>
    <row r="7" spans="3:7" x14ac:dyDescent="0.25">
      <c r="C7" s="31"/>
      <c r="D7" s="27">
        <f>DATE(2026,11,15)</f>
        <v>46341</v>
      </c>
      <c r="E7" s="32">
        <f>0.04245*100%</f>
        <v>4.2450000000000002E-2</v>
      </c>
      <c r="F7" s="32">
        <v>4.9216981516415452E-2</v>
      </c>
      <c r="G7" s="34">
        <f t="shared" ref="G7:G12" si="0">F7-E7</f>
        <v>6.7669815164154504E-3</v>
      </c>
    </row>
    <row r="8" spans="3:7" x14ac:dyDescent="0.25">
      <c r="C8" s="31"/>
      <c r="D8" s="27">
        <f>DATE(2027,4,5)</f>
        <v>46482</v>
      </c>
      <c r="E8" s="32">
        <f>0.04245*100%</f>
        <v>4.2450000000000002E-2</v>
      </c>
      <c r="F8" s="32">
        <v>4.8045306592476036E-2</v>
      </c>
      <c r="G8" s="34">
        <f>F8-E8</f>
        <v>5.5953065924760348E-3</v>
      </c>
    </row>
    <row r="9" spans="3:7" x14ac:dyDescent="0.25">
      <c r="C9" s="31"/>
      <c r="D9" s="27">
        <f>DATE(2028,5,15)</f>
        <v>46888</v>
      </c>
      <c r="E9" s="32">
        <f>0.042535*100%</f>
        <v>4.2535000000000003E-2</v>
      </c>
      <c r="F9" s="32">
        <v>4.9483625686658247E-2</v>
      </c>
      <c r="G9" s="34">
        <f>F9-E9</f>
        <v>6.9486256866582441E-3</v>
      </c>
    </row>
    <row r="10" spans="3:7" x14ac:dyDescent="0.25">
      <c r="C10" s="31"/>
      <c r="D10" s="27">
        <f>DATE(2030, 5,15)</f>
        <v>47618</v>
      </c>
      <c r="E10" s="32">
        <f>0.043*100%</f>
        <v>4.2999999999999997E-2</v>
      </c>
      <c r="F10" s="32">
        <v>5.1243963759533419E-2</v>
      </c>
      <c r="G10" s="34">
        <f t="shared" si="0"/>
        <v>8.2439637595334223E-3</v>
      </c>
    </row>
    <row r="11" spans="3:7" x14ac:dyDescent="0.25">
      <c r="C11" s="31"/>
      <c r="D11" s="27">
        <f>DATE(2033,8,1)</f>
        <v>48792</v>
      </c>
      <c r="E11" s="32">
        <f>0.044747*100%</f>
        <v>4.4747000000000002E-2</v>
      </c>
      <c r="F11" s="32">
        <v>5.422271896882034E-2</v>
      </c>
      <c r="G11" s="34">
        <f t="shared" si="0"/>
        <v>9.4757189688203375E-3</v>
      </c>
    </row>
    <row r="12" spans="3:7" x14ac:dyDescent="0.25">
      <c r="C12" s="31"/>
      <c r="D12" s="27">
        <f>DATE(2034,4,5)</f>
        <v>49039</v>
      </c>
      <c r="E12" s="32">
        <f>0.045486*100%</f>
        <v>4.5485999999999999E-2</v>
      </c>
      <c r="F12" s="32">
        <v>5.3150743852704761E-2</v>
      </c>
      <c r="G12" s="34">
        <f t="shared" si="0"/>
        <v>7.6647438527047626E-3</v>
      </c>
    </row>
    <row r="13" spans="3:7" x14ac:dyDescent="0.25">
      <c r="C13" s="31"/>
      <c r="D13" s="28">
        <f>DATE(2035,1,1)</f>
        <v>49310</v>
      </c>
      <c r="E13" s="33">
        <f>0.046264*100%</f>
        <v>4.6264E-2</v>
      </c>
      <c r="F13" s="33">
        <v>5.1721443697883993E-2</v>
      </c>
      <c r="G13" s="35">
        <f>F13-E13</f>
        <v>5.457443697883993E-3</v>
      </c>
    </row>
    <row r="14" spans="3:7" x14ac:dyDescent="0.25">
      <c r="E14" s="20" t="s">
        <v>54</v>
      </c>
      <c r="F14" s="41">
        <v>7.1646834392131778E-3</v>
      </c>
    </row>
    <row r="24" spans="4:5" x14ac:dyDescent="0.25">
      <c r="D24" s="18" t="s">
        <v>54</v>
      </c>
      <c r="E24" s="41">
        <f>AVERAGE(G6:G13)</f>
        <v>7.1646834392131778E-3</v>
      </c>
    </row>
    <row r="38" spans="7:7" x14ac:dyDescent="0.25">
      <c r="G38" t="s">
        <v>48</v>
      </c>
    </row>
    <row r="49" spans="3:9" x14ac:dyDescent="0.25">
      <c r="E49" t="s">
        <v>49</v>
      </c>
      <c r="F49" t="s">
        <v>50</v>
      </c>
      <c r="H49" s="20" t="s">
        <v>53</v>
      </c>
      <c r="I49" s="19" t="s">
        <v>57</v>
      </c>
    </row>
    <row r="50" spans="3:9" x14ac:dyDescent="0.25">
      <c r="C50" s="12">
        <v>1</v>
      </c>
      <c r="D50" t="s">
        <v>49</v>
      </c>
      <c r="E50" s="36">
        <f>1-F50</f>
        <v>0.98572184343547553</v>
      </c>
      <c r="F50" s="37">
        <f>2*(1-EXP(-E24))</f>
        <v>1.4278156564524469E-2</v>
      </c>
      <c r="H50" s="21">
        <v>1</v>
      </c>
      <c r="I50" s="34">
        <f>F50</f>
        <v>1.4278156564524469E-2</v>
      </c>
    </row>
    <row r="51" spans="3:9" x14ac:dyDescent="0.25">
      <c r="D51" t="s">
        <v>50</v>
      </c>
      <c r="E51" s="16">
        <v>0</v>
      </c>
      <c r="F51" s="17">
        <v>1</v>
      </c>
      <c r="H51" s="21">
        <v>2</v>
      </c>
      <c r="I51" s="34">
        <f>F53</f>
        <v>2.8352447374167866E-2</v>
      </c>
    </row>
    <row r="52" spans="3:9" x14ac:dyDescent="0.25">
      <c r="H52" s="21">
        <v>3</v>
      </c>
      <c r="I52" s="34">
        <f>F56</f>
        <v>4.2225783256096522E-2</v>
      </c>
    </row>
    <row r="53" spans="3:9" x14ac:dyDescent="0.25">
      <c r="C53" s="24">
        <v>2</v>
      </c>
      <c r="D53" s="23"/>
      <c r="E53" s="13" cm="1">
        <f t="array" ref="E53:F54">MMULT(E50:F51,E50:F51)</f>
        <v>0.97164755262583213</v>
      </c>
      <c r="F53" s="14">
        <v>2.8352447374167866E-2</v>
      </c>
      <c r="H53" s="21">
        <v>4</v>
      </c>
      <c r="I53" s="34">
        <f>F59</f>
        <v>5.5901033476230766E-2</v>
      </c>
    </row>
    <row r="54" spans="3:9" x14ac:dyDescent="0.25">
      <c r="E54" s="16">
        <v>0</v>
      </c>
      <c r="F54" s="17">
        <v>1</v>
      </c>
      <c r="H54" s="21">
        <v>5</v>
      </c>
      <c r="I54" s="34">
        <f>F62</f>
        <v>6.9381026332662882E-2</v>
      </c>
    </row>
    <row r="55" spans="3:9" x14ac:dyDescent="0.25">
      <c r="H55" s="21">
        <v>6</v>
      </c>
      <c r="I55" s="34">
        <f>F65</f>
        <v>8.2668549740602199E-2</v>
      </c>
    </row>
    <row r="56" spans="3:9" x14ac:dyDescent="0.25">
      <c r="C56" s="24">
        <v>3</v>
      </c>
      <c r="D56" s="23"/>
      <c r="E56" s="13" cm="1">
        <f t="array" ref="E56:F57">MMULT(E50:F51,_xlfn.ANCHORARRAY(E53))</f>
        <v>0.95777421674390351</v>
      </c>
      <c r="F56" s="14">
        <v>4.2225783256096522E-2</v>
      </c>
      <c r="H56" s="21">
        <v>7</v>
      </c>
      <c r="I56" s="34">
        <f>F68</f>
        <v>9.576635180896817E-2</v>
      </c>
    </row>
    <row r="57" spans="3:9" x14ac:dyDescent="0.25">
      <c r="E57" s="16">
        <v>0</v>
      </c>
      <c r="F57" s="17">
        <v>1</v>
      </c>
      <c r="H57" s="21">
        <v>8</v>
      </c>
      <c r="I57" s="34">
        <f>F72</f>
        <v>0.10867714140875086</v>
      </c>
    </row>
    <row r="58" spans="3:9" x14ac:dyDescent="0.25">
      <c r="H58" s="21">
        <v>9</v>
      </c>
      <c r="I58" s="34">
        <f>F75</f>
        <v>0.12140358873325621</v>
      </c>
    </row>
    <row r="59" spans="3:9" x14ac:dyDescent="0.25">
      <c r="C59" s="24">
        <v>4</v>
      </c>
      <c r="D59" s="23"/>
      <c r="E59" s="13" cm="1">
        <f t="array" ref="E59:F60">MMULT(E50:F51,E56:F57)</f>
        <v>0.94409896652376923</v>
      </c>
      <c r="F59" s="14">
        <v>5.5901033476230766E-2</v>
      </c>
      <c r="H59" s="22">
        <v>10</v>
      </c>
      <c r="I59" s="35">
        <f>F78</f>
        <v>0.1339483258503521</v>
      </c>
    </row>
    <row r="60" spans="3:9" x14ac:dyDescent="0.25">
      <c r="E60" s="16">
        <v>0</v>
      </c>
      <c r="F60" s="17">
        <v>1</v>
      </c>
    </row>
    <row r="62" spans="3:9" x14ac:dyDescent="0.25">
      <c r="C62" s="24">
        <v>5</v>
      </c>
      <c r="D62" s="23"/>
      <c r="E62" s="13" cm="1">
        <f t="array" ref="E62:F63">MMULT(E50:F51,E59:F60)</f>
        <v>0.93061897366733715</v>
      </c>
      <c r="F62" s="14">
        <v>6.9381026332662882E-2</v>
      </c>
    </row>
    <row r="63" spans="3:9" x14ac:dyDescent="0.25">
      <c r="E63" s="16">
        <v>0</v>
      </c>
      <c r="F63" s="17">
        <v>1</v>
      </c>
    </row>
    <row r="65" spans="3:6" x14ac:dyDescent="0.25">
      <c r="C65" s="25">
        <v>6</v>
      </c>
      <c r="D65" s="26"/>
      <c r="E65" s="13" cm="1">
        <f t="array" ref="E65:F66">MMULT(_xlfn.ANCHORARRAY(E62),E50:F51)</f>
        <v>0.91733145025939788</v>
      </c>
      <c r="F65" s="14">
        <v>8.2668549740602199E-2</v>
      </c>
    </row>
    <row r="66" spans="3:6" x14ac:dyDescent="0.25">
      <c r="E66" s="16">
        <v>0</v>
      </c>
      <c r="F66" s="17">
        <v>1</v>
      </c>
    </row>
    <row r="68" spans="3:6" x14ac:dyDescent="0.25">
      <c r="C68" s="24">
        <v>7</v>
      </c>
      <c r="D68" s="23"/>
      <c r="E68" s="13" cm="1">
        <f t="array" ref="E68:F69">MMULT(_xlfn.ANCHORARRAY(E65),E50:F51)</f>
        <v>0.90423364819103191</v>
      </c>
      <c r="F68" s="14">
        <v>9.576635180896817E-2</v>
      </c>
    </row>
    <row r="69" spans="3:6" x14ac:dyDescent="0.25">
      <c r="E69" s="16">
        <v>0</v>
      </c>
      <c r="F69" s="17">
        <v>1</v>
      </c>
    </row>
    <row r="72" spans="3:6" x14ac:dyDescent="0.25">
      <c r="C72" s="24">
        <v>8</v>
      </c>
      <c r="D72" s="23"/>
      <c r="E72" s="13" cm="1">
        <f t="array" ref="E72:F73">MMULT(_xlfn.ANCHORARRAY(E68),E50:F51)</f>
        <v>0.89132285859124927</v>
      </c>
      <c r="F72" s="14">
        <v>0.10867714140875086</v>
      </c>
    </row>
    <row r="73" spans="3:6" x14ac:dyDescent="0.25">
      <c r="E73" s="16">
        <v>0</v>
      </c>
      <c r="F73" s="17">
        <v>1</v>
      </c>
    </row>
    <row r="75" spans="3:6" x14ac:dyDescent="0.25">
      <c r="C75" s="24">
        <v>9</v>
      </c>
      <c r="D75" s="23"/>
      <c r="E75" s="13" cm="1">
        <f t="array" ref="E75:F76">MMULT(_xlfn.ANCHORARRAY(E72),E50:F51)</f>
        <v>0.87859641126674393</v>
      </c>
      <c r="F75" s="14">
        <v>0.12140358873325621</v>
      </c>
    </row>
    <row r="76" spans="3:6" x14ac:dyDescent="0.25">
      <c r="E76" s="16">
        <v>0</v>
      </c>
      <c r="F76" s="17">
        <v>1</v>
      </c>
    </row>
    <row r="78" spans="3:6" x14ac:dyDescent="0.25">
      <c r="C78" s="24">
        <v>10</v>
      </c>
      <c r="D78" s="23"/>
      <c r="E78" s="13" cm="1">
        <f t="array" ref="E78:F79">MMULT(_xlfn.ANCHORARRAY(E75), E50:F51)</f>
        <v>0.86605167414964801</v>
      </c>
      <c r="F78" s="14">
        <v>0.1339483258503521</v>
      </c>
    </row>
    <row r="79" spans="3:6" x14ac:dyDescent="0.25">
      <c r="E79" s="16">
        <v>0</v>
      </c>
      <c r="F79" s="17">
        <v>1</v>
      </c>
    </row>
    <row r="134" spans="6:8" x14ac:dyDescent="0.25">
      <c r="G134" t="s">
        <v>49</v>
      </c>
      <c r="H134" t="s">
        <v>50</v>
      </c>
    </row>
    <row r="135" spans="6:8" x14ac:dyDescent="0.25">
      <c r="F135" t="s">
        <v>49</v>
      </c>
      <c r="G135" s="5">
        <v>0.98572184343547553</v>
      </c>
      <c r="H135" s="5">
        <v>1.4278156564524469E-2</v>
      </c>
    </row>
    <row r="136" spans="6:8" x14ac:dyDescent="0.25">
      <c r="F136" t="s">
        <v>50</v>
      </c>
      <c r="G136" s="5">
        <v>0</v>
      </c>
      <c r="H136" s="5">
        <v>1</v>
      </c>
    </row>
  </sheetData>
  <sortState xmlns:xlrd2="http://schemas.microsoft.com/office/spreadsheetml/2017/richdata2" ref="D6:F13">
    <sortCondition ref="D5:D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0070-A489-4797-BB64-E5BD8AA40E1E}">
  <dimension ref="C3:L28"/>
  <sheetViews>
    <sheetView zoomScale="98" zoomScaleNormal="85" workbookViewId="0">
      <selection activeCell="C43" sqref="C43"/>
    </sheetView>
  </sheetViews>
  <sheetFormatPr defaultRowHeight="12.5" x14ac:dyDescent="0.25"/>
  <cols>
    <col min="3" max="3" width="30.26953125" customWidth="1"/>
    <col min="4" max="4" width="19.36328125" customWidth="1"/>
    <col min="5" max="5" width="20.08984375" customWidth="1"/>
    <col min="6" max="6" width="26.81640625" customWidth="1"/>
    <col min="7" max="7" width="31.1796875" customWidth="1"/>
    <col min="8" max="8" width="22.1796875" customWidth="1"/>
    <col min="9" max="9" width="19.1796875" customWidth="1"/>
    <col min="10" max="10" width="21.453125" customWidth="1"/>
    <col min="11" max="11" width="19.6328125" customWidth="1"/>
    <col min="12" max="12" width="30.81640625" customWidth="1"/>
  </cols>
  <sheetData>
    <row r="3" spans="3:12" x14ac:dyDescent="0.25">
      <c r="C3" t="s">
        <v>31</v>
      </c>
      <c r="D3" t="s">
        <v>40</v>
      </c>
      <c r="E3" t="s">
        <v>42</v>
      </c>
      <c r="F3" t="s">
        <v>26</v>
      </c>
      <c r="G3" t="s">
        <v>44</v>
      </c>
      <c r="H3" t="s">
        <v>37</v>
      </c>
      <c r="I3" t="s">
        <v>41</v>
      </c>
      <c r="J3" t="s">
        <v>43</v>
      </c>
      <c r="K3" t="s">
        <v>38</v>
      </c>
      <c r="L3" t="s">
        <v>47</v>
      </c>
    </row>
    <row r="4" spans="3:12" x14ac:dyDescent="0.25">
      <c r="C4" s="2" t="s">
        <v>45</v>
      </c>
      <c r="D4" s="2"/>
      <c r="E4" s="2"/>
      <c r="F4">
        <v>3.2329400000000001E-2</v>
      </c>
      <c r="G4" s="9">
        <f>((G5-G6)/0.5)*(8/12) +G5</f>
        <v>5.1721443697883993E-2</v>
      </c>
      <c r="H4" s="2">
        <v>100</v>
      </c>
      <c r="I4" s="2"/>
    </row>
    <row r="5" spans="3:12" x14ac:dyDescent="0.25">
      <c r="C5" t="s">
        <v>33</v>
      </c>
      <c r="D5" s="6">
        <f>DATE(2034,4,5)</f>
        <v>49039</v>
      </c>
      <c r="E5">
        <v>2</v>
      </c>
      <c r="F5">
        <v>3.2075600000000003E-2</v>
      </c>
      <c r="G5" s="8">
        <f>YIELD(J5,D5,I5,K5,H5,E5)</f>
        <v>5.3150743852704761E-2</v>
      </c>
      <c r="H5">
        <v>100</v>
      </c>
      <c r="I5">
        <v>5.3600000000000002E-2</v>
      </c>
      <c r="J5" s="6">
        <f>DATE(2024,12,1)</f>
        <v>45627</v>
      </c>
      <c r="K5">
        <v>100.32</v>
      </c>
      <c r="L5" s="5">
        <f t="shared" ref="L5:L10" si="0">G4-F4</f>
        <v>1.9392043697883991E-2</v>
      </c>
    </row>
    <row r="6" spans="3:12" x14ac:dyDescent="0.25">
      <c r="C6" t="s">
        <v>32</v>
      </c>
      <c r="D6" s="6">
        <f>DATE(2033,8,1)</f>
        <v>48792</v>
      </c>
      <c r="E6">
        <v>2</v>
      </c>
      <c r="F6">
        <v>3.1874100000000002E-2</v>
      </c>
      <c r="G6" s="8">
        <f>YIELD(J6,D6,I6,K6,H6,E6)</f>
        <v>5.422271896882034E-2</v>
      </c>
      <c r="H6">
        <v>100</v>
      </c>
      <c r="I6">
        <v>2.5000000000000001E-2</v>
      </c>
      <c r="J6" s="6">
        <f t="shared" ref="J6:J10" si="1">DATE(2024,12,1)</f>
        <v>45627</v>
      </c>
      <c r="K6">
        <v>80</v>
      </c>
      <c r="L6" s="5">
        <f t="shared" si="0"/>
        <v>2.1075143852704759E-2</v>
      </c>
    </row>
    <row r="7" spans="3:12" x14ac:dyDescent="0.25">
      <c r="C7" t="s">
        <v>39</v>
      </c>
      <c r="D7" s="6">
        <f>DATE(2030, 5,15)</f>
        <v>47618</v>
      </c>
      <c r="E7">
        <v>2</v>
      </c>
      <c r="F7">
        <v>3.0293799999999999E-2</v>
      </c>
      <c r="G7" s="8">
        <f t="shared" ref="G7:G10" si="2">YIELD(J7,D7,I7,K7,H7,E7)</f>
        <v>5.1243963759533419E-2</v>
      </c>
      <c r="H7">
        <v>100</v>
      </c>
      <c r="I7">
        <v>6.2E-2</v>
      </c>
      <c r="J7" s="6">
        <f t="shared" si="1"/>
        <v>45627</v>
      </c>
      <c r="K7">
        <v>105.06</v>
      </c>
      <c r="L7" s="5">
        <f t="shared" si="0"/>
        <v>2.2348618968820337E-2</v>
      </c>
    </row>
    <row r="8" spans="3:12" x14ac:dyDescent="0.25">
      <c r="C8" t="s">
        <v>34</v>
      </c>
      <c r="D8" s="6">
        <f>DATE(2028,5,15)</f>
        <v>46888</v>
      </c>
      <c r="E8">
        <v>2</v>
      </c>
      <c r="F8">
        <v>2.89418E-2</v>
      </c>
      <c r="G8" s="8">
        <f t="shared" si="2"/>
        <v>4.9483625686658247E-2</v>
      </c>
      <c r="H8">
        <v>100</v>
      </c>
      <c r="I8">
        <v>0.06</v>
      </c>
      <c r="J8" s="6">
        <f t="shared" si="1"/>
        <v>45627</v>
      </c>
      <c r="K8">
        <v>103.3</v>
      </c>
      <c r="L8" s="5">
        <f t="shared" si="0"/>
        <v>2.095016375953342E-2</v>
      </c>
    </row>
    <row r="9" spans="3:12" x14ac:dyDescent="0.25">
      <c r="C9" t="s">
        <v>36</v>
      </c>
      <c r="D9" s="6">
        <f>DATE(2027,4,5)</f>
        <v>46482</v>
      </c>
      <c r="E9">
        <v>2</v>
      </c>
      <c r="F9">
        <v>2.8547900000000001E-2</v>
      </c>
      <c r="G9" s="8">
        <f t="shared" si="2"/>
        <v>4.8045306592476036E-2</v>
      </c>
      <c r="H9">
        <v>100</v>
      </c>
      <c r="I9">
        <v>5.2499999999999998E-2</v>
      </c>
      <c r="J9" s="6">
        <f t="shared" si="1"/>
        <v>45627</v>
      </c>
      <c r="K9">
        <v>100.97</v>
      </c>
      <c r="L9" s="5">
        <f t="shared" si="0"/>
        <v>2.0541825686658247E-2</v>
      </c>
    </row>
    <row r="10" spans="3:12" x14ac:dyDescent="0.25">
      <c r="C10" t="s">
        <v>35</v>
      </c>
      <c r="D10" s="6">
        <f>DATE(2026,11,15)</f>
        <v>46341</v>
      </c>
      <c r="E10">
        <v>2</v>
      </c>
      <c r="F10">
        <v>2.8649600000000001E-2</v>
      </c>
      <c r="G10" s="8">
        <f t="shared" si="2"/>
        <v>4.9216981516415452E-2</v>
      </c>
      <c r="H10">
        <v>100</v>
      </c>
      <c r="I10">
        <v>5.8999999999999997E-2</v>
      </c>
      <c r="J10" s="6">
        <f t="shared" si="1"/>
        <v>45627</v>
      </c>
      <c r="K10">
        <v>101.8</v>
      </c>
      <c r="L10" s="7">
        <f t="shared" si="0"/>
        <v>1.9497406592476035E-2</v>
      </c>
    </row>
    <row r="11" spans="3:12" ht="13" x14ac:dyDescent="0.3">
      <c r="C11" t="s">
        <v>46</v>
      </c>
      <c r="D11" s="6">
        <f>DATE(2024,12, 31)</f>
        <v>45657</v>
      </c>
      <c r="F11">
        <v>3.14247E-2</v>
      </c>
      <c r="G11" s="10">
        <v>6.1800000000000001E-2</v>
      </c>
      <c r="J11" s="6"/>
    </row>
    <row r="15" spans="3:12" x14ac:dyDescent="0.25">
      <c r="E15" t="s">
        <v>27</v>
      </c>
      <c r="F15" t="s">
        <v>29</v>
      </c>
    </row>
    <row r="16" spans="3:12" x14ac:dyDescent="0.25">
      <c r="E16" t="s">
        <v>28</v>
      </c>
      <c r="F16" s="4">
        <v>218973</v>
      </c>
    </row>
    <row r="17" spans="3:7" x14ac:dyDescent="0.25">
      <c r="E17" t="s">
        <v>30</v>
      </c>
      <c r="F17" s="4">
        <v>150000</v>
      </c>
    </row>
    <row r="24" spans="3:7" x14ac:dyDescent="0.25">
      <c r="C24" t="s">
        <v>1</v>
      </c>
      <c r="D24">
        <v>3.14247E-2</v>
      </c>
    </row>
    <row r="25" spans="3:7" x14ac:dyDescent="0.25">
      <c r="C25" t="s">
        <v>2</v>
      </c>
      <c r="D25">
        <v>218.97300000000001</v>
      </c>
    </row>
    <row r="26" spans="3:7" ht="14" x14ac:dyDescent="0.25">
      <c r="C26" t="s">
        <v>3</v>
      </c>
      <c r="G26" s="11">
        <v>1.3245</v>
      </c>
    </row>
    <row r="27" spans="3:7" x14ac:dyDescent="0.25">
      <c r="C27" t="s">
        <v>4</v>
      </c>
      <c r="D27">
        <v>150</v>
      </c>
    </row>
    <row r="28" spans="3:7" x14ac:dyDescent="0.25">
      <c r="C28" t="s">
        <v>5</v>
      </c>
      <c r="D28">
        <v>29.66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4344-71C4-43C0-A640-BB45ACED6A2A}">
  <dimension ref="D6:F63"/>
  <sheetViews>
    <sheetView tabSelected="1" zoomScale="110" workbookViewId="0">
      <selection activeCell="D6" sqref="D6:E16"/>
    </sheetView>
  </sheetViews>
  <sheetFormatPr defaultRowHeight="12.5" x14ac:dyDescent="0.25"/>
  <cols>
    <col min="4" max="4" width="12.26953125" customWidth="1"/>
    <col min="5" max="5" width="20.453125" customWidth="1"/>
    <col min="6" max="6" width="14.453125" customWidth="1"/>
  </cols>
  <sheetData>
    <row r="6" spans="4:6" x14ac:dyDescent="0.25">
      <c r="D6" s="20" t="s">
        <v>59</v>
      </c>
      <c r="E6" s="20" t="s">
        <v>58</v>
      </c>
      <c r="F6" s="20" t="s">
        <v>60</v>
      </c>
    </row>
    <row r="7" spans="4:6" x14ac:dyDescent="0.25">
      <c r="D7" s="21">
        <v>1</v>
      </c>
      <c r="E7" s="32">
        <v>1.4278156564524469E-2</v>
      </c>
      <c r="F7" s="38">
        <f>'merton '!F18</f>
        <v>2.8873170506815704E-5</v>
      </c>
    </row>
    <row r="8" spans="4:6" x14ac:dyDescent="0.25">
      <c r="D8" s="21">
        <v>2</v>
      </c>
      <c r="E8" s="32">
        <v>2.8352447374167866E-2</v>
      </c>
      <c r="F8" s="32">
        <f>'merton '!F36</f>
        <v>2.2953348434517906E-3</v>
      </c>
    </row>
    <row r="9" spans="4:6" x14ac:dyDescent="0.25">
      <c r="D9" s="21">
        <v>3</v>
      </c>
      <c r="E9" s="32">
        <v>4.2225783256096522E-2</v>
      </c>
      <c r="F9" s="32">
        <f>'merton '!F54</f>
        <v>1.1091872759375621E-2</v>
      </c>
    </row>
    <row r="10" spans="4:6" x14ac:dyDescent="0.25">
      <c r="D10" s="21">
        <v>4</v>
      </c>
      <c r="E10" s="32">
        <v>5.5901033476230766E-2</v>
      </c>
      <c r="F10" s="32">
        <f>'merton '!F72</f>
        <v>2.667736911594254E-2</v>
      </c>
    </row>
    <row r="11" spans="4:6" x14ac:dyDescent="0.25">
      <c r="D11" s="21">
        <v>5</v>
      </c>
      <c r="E11" s="32">
        <v>6.9381026332662882E-2</v>
      </c>
      <c r="F11" s="32">
        <f>'merton '!F90</f>
        <v>4.8175414649878401E-2</v>
      </c>
    </row>
    <row r="12" spans="4:6" x14ac:dyDescent="0.25">
      <c r="D12" s="21">
        <v>6</v>
      </c>
      <c r="E12" s="32">
        <v>8.2668549740602199E-2</v>
      </c>
      <c r="F12" s="32">
        <f>'merton '!F108</f>
        <v>7.8478936799899479E-2</v>
      </c>
    </row>
    <row r="13" spans="4:6" x14ac:dyDescent="0.25">
      <c r="D13" s="21">
        <v>7</v>
      </c>
      <c r="E13" s="32">
        <v>9.576635180896817E-2</v>
      </c>
      <c r="F13" s="32">
        <f>'merton '!F126</f>
        <v>0.10661635895499533</v>
      </c>
    </row>
    <row r="14" spans="4:6" x14ac:dyDescent="0.25">
      <c r="D14" s="21">
        <v>8</v>
      </c>
      <c r="E14" s="32">
        <v>0.10867714140875086</v>
      </c>
      <c r="F14" s="32">
        <f>'merton '!F144</f>
        <v>0.13581402172458423</v>
      </c>
    </row>
    <row r="15" spans="4:6" x14ac:dyDescent="0.25">
      <c r="D15" s="21">
        <v>9</v>
      </c>
      <c r="E15" s="32">
        <v>0.12140358873325621</v>
      </c>
      <c r="F15" s="32">
        <f>'merton '!F162</f>
        <v>0.1652051210419756</v>
      </c>
    </row>
    <row r="16" spans="4:6" x14ac:dyDescent="0.25">
      <c r="D16" s="22">
        <v>10</v>
      </c>
      <c r="E16" s="33">
        <v>0.1339483258503521</v>
      </c>
      <c r="F16" s="33">
        <f>'merton '!F180</f>
        <v>0.19415405543091036</v>
      </c>
    </row>
    <row r="63" spans="6:6" x14ac:dyDescent="0.25">
      <c r="F63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merton </vt:lpstr>
      <vt:lpstr>creadit metric</vt:lpstr>
      <vt:lpstr>relevent data </vt:lpstr>
      <vt:lpstr>plot for prob default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Kramarenko, Vitaliy</dc:creator>
  <cp:lastModifiedBy>av.kramarenko@icloud.com</cp:lastModifiedBy>
  <dcterms:created xsi:type="dcterms:W3CDTF">2025-04-07T19:28:25Z</dcterms:created>
  <dcterms:modified xsi:type="dcterms:W3CDTF">2025-04-26T06:36:46Z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2025-04-07T19:52:22Z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3d77ba75-fdb8-4b14-a9ac-710e2244c77e</vt:lpwstr>
  </property>
  <property fmtid="{D5CDD505-2E9C-101B-9397-08002B2CF9AE}" pid="8" name="MSIP_Label_0c07ed86-5dc5-4593-ad03-a8684b843815_ContentBits">
    <vt:lpwstr>0</vt:lpwstr>
  </property>
</Properties>
</file>